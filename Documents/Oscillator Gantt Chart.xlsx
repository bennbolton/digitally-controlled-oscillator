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247" documentId="8_{089E511F-80BE-48F1-BB3F-9072C2A526E5}" xr6:coauthVersionLast="47" xr6:coauthVersionMax="47" xr10:uidLastSave="{F5C92703-D49E-4007-84BD-459A1CE0E2EF}"/>
  <bookViews>
    <workbookView xWindow="-108" yWindow="-108" windowWidth="30936" windowHeight="16776" xr2:uid="{00000000-000D-0000-FFFF-FFFF00000000}"/>
  </bookViews>
  <sheets>
    <sheet name="ProjectSchedule" sheetId="11" r:id="rId1"/>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9" i="11" l="1"/>
  <c r="F29" i="11" s="1"/>
  <c r="E31" i="11" s="1"/>
  <c r="F31" i="11" s="1"/>
  <c r="E32" i="11" s="1"/>
  <c r="F32" i="11" s="1"/>
  <c r="E33" i="11" s="1"/>
  <c r="F33" i="11" s="1"/>
  <c r="E35" i="11" s="1"/>
  <c r="F35" i="11" s="1"/>
  <c r="E36" i="11" s="1"/>
  <c r="F36" i="11" s="1"/>
  <c r="F14" i="11" l="1"/>
  <c r="F15" i="11" s="1"/>
  <c r="E16" i="11" s="1"/>
  <c r="E28" i="11"/>
  <c r="F25" i="11" s="1"/>
  <c r="E3" i="11"/>
  <c r="E10" i="11" s="1"/>
  <c r="H7" i="11"/>
  <c r="F27" i="11" l="1"/>
  <c r="E27" i="11" s="1"/>
  <c r="F26" i="11" s="1"/>
  <c r="E26" i="11" s="1"/>
  <c r="E25" i="11" s="1"/>
  <c r="E24" i="11" s="1"/>
  <c r="F13" i="11"/>
  <c r="F10" i="11"/>
  <c r="E11" i="11"/>
  <c r="H32" i="11"/>
  <c r="I5" i="11"/>
  <c r="H38" i="11"/>
  <c r="H37" i="11"/>
  <c r="H36" i="11"/>
  <c r="H34" i="11"/>
  <c r="H31" i="11"/>
  <c r="H30" i="11"/>
  <c r="H17" i="11"/>
  <c r="H9" i="11"/>
  <c r="F23" i="11" l="1"/>
  <c r="E23" i="11" s="1"/>
  <c r="F22" i="11" s="1"/>
  <c r="E22" i="11" s="1"/>
  <c r="E21" i="11" s="1"/>
  <c r="F20" i="11" s="1"/>
  <c r="F24" i="11"/>
  <c r="F11" i="11"/>
  <c r="E12" i="11" s="1"/>
  <c r="F12" i="11" s="1"/>
  <c r="H10" i="11"/>
  <c r="I6" i="11"/>
  <c r="F21" i="11" l="1"/>
  <c r="H35" i="11"/>
  <c r="H11" i="11"/>
  <c r="H33" i="11"/>
  <c r="H16" i="11"/>
  <c r="J5" i="11"/>
  <c r="K5" i="11" s="1"/>
  <c r="L5" i="11" s="1"/>
  <c r="M5" i="11" s="1"/>
  <c r="I4" i="11"/>
  <c r="E20" i="11" l="1"/>
  <c r="F19" i="11" s="1"/>
  <c r="E19" i="11" s="1"/>
  <c r="N5" i="11"/>
  <c r="O5" i="11" s="1"/>
  <c r="P5" i="11" s="1"/>
  <c r="H12" i="11"/>
  <c r="H14" i="11"/>
  <c r="J6" i="11"/>
  <c r="F18" i="11" l="1"/>
  <c r="H18" i="11" s="1"/>
  <c r="H19" i="11"/>
  <c r="N4" i="11"/>
  <c r="Q5" i="11"/>
  <c r="R5" i="11" s="1"/>
  <c r="S5" i="11" s="1"/>
  <c r="H23" i="11"/>
  <c r="H21" i="11"/>
  <c r="H20" i="11"/>
  <c r="K6" i="11"/>
  <c r="T5" i="11" l="1"/>
  <c r="U5" i="11" s="1"/>
  <c r="V5" i="11" s="1"/>
  <c r="W5" i="11" s="1"/>
  <c r="X5" i="11" s="1"/>
  <c r="Y5" i="11" s="1"/>
  <c r="Z5" i="11" s="1"/>
  <c r="S4" i="11"/>
  <c r="L6" i="11"/>
  <c r="AA5" i="11" l="1"/>
  <c r="AB5" i="11" s="1"/>
  <c r="AC5" i="11" s="1"/>
  <c r="X4" i="11"/>
  <c r="M6" i="11"/>
  <c r="AD5" i="11" l="1"/>
  <c r="AE5" i="11" s="1"/>
  <c r="AF5" i="11" s="1"/>
  <c r="AG5" i="11" s="1"/>
  <c r="AH5" i="11" s="1"/>
  <c r="AI5" i="11" s="1"/>
  <c r="AJ5" i="11" s="1"/>
  <c r="AC4" i="11"/>
  <c r="N6" i="11"/>
  <c r="AK5" i="11" l="1"/>
  <c r="AL5" i="11" s="1"/>
  <c r="AM5" i="11" s="1"/>
  <c r="AH4" i="11"/>
  <c r="O6" i="11"/>
  <c r="AM4" i="11" l="1"/>
  <c r="AN5" i="11"/>
  <c r="AO5" i="11" s="1"/>
  <c r="AP5" i="11" s="1"/>
  <c r="AQ5" i="11" s="1"/>
  <c r="AR5" i="11" s="1"/>
  <c r="AS5" i="11" s="1"/>
  <c r="AT5" i="11" l="1"/>
  <c r="AS6" i="11"/>
  <c r="P6" i="11"/>
  <c r="Q6" i="11"/>
  <c r="AU5" i="11" l="1"/>
  <c r="AR4" i="11"/>
  <c r="AT6" i="11"/>
  <c r="R6" i="11"/>
  <c r="AV5" i="11" l="1"/>
  <c r="AU6" i="11"/>
  <c r="S6" i="11"/>
  <c r="AW5" i="11" l="1"/>
  <c r="AV6" i="11"/>
  <c r="T6" i="11"/>
  <c r="AX5" i="11" l="1"/>
  <c r="AW4" i="11"/>
  <c r="AW6" i="11"/>
  <c r="U6" i="11"/>
  <c r="AY5" i="11" l="1"/>
  <c r="AX6" i="11"/>
  <c r="V6" i="11"/>
  <c r="AZ5" i="11" l="1"/>
  <c r="AY6" i="11"/>
  <c r="W6" i="11"/>
  <c r="BA5" i="11" l="1"/>
  <c r="AZ6" i="11"/>
  <c r="X6" i="11"/>
  <c r="BB5" i="11" l="1"/>
  <c r="BA6" i="11"/>
  <c r="Y6" i="11"/>
  <c r="BC5" i="11" l="1"/>
  <c r="BB6" i="11"/>
  <c r="Z6" i="11"/>
  <c r="BD5" i="11" l="1"/>
  <c r="BC6" i="11"/>
  <c r="AA6" i="11"/>
  <c r="BB4" i="11" l="1"/>
  <c r="BE5" i="11"/>
  <c r="BD6" i="11"/>
  <c r="AB6" i="11"/>
  <c r="BF5" i="11" l="1"/>
  <c r="BE6" i="11"/>
  <c r="AC6" i="11"/>
  <c r="BG5" i="11" l="1"/>
  <c r="BF6" i="11"/>
  <c r="AD6" i="11"/>
  <c r="BG4" i="11" l="1"/>
  <c r="BH5" i="11"/>
  <c r="BG6" i="11"/>
  <c r="AE6" i="11"/>
  <c r="BI5" i="11" l="1"/>
  <c r="BH6" i="11"/>
  <c r="AF6" i="11"/>
  <c r="BJ5" i="11" l="1"/>
  <c r="BI6" i="11"/>
  <c r="AG6" i="11"/>
  <c r="BK5" i="11" l="1"/>
  <c r="BJ6" i="11"/>
  <c r="AH6" i="11"/>
  <c r="BL5" i="11" l="1"/>
  <c r="BK6" i="11"/>
  <c r="AI6" i="11"/>
  <c r="BM5" i="11" l="1"/>
  <c r="BL6" i="11"/>
  <c r="AJ6" i="11"/>
  <c r="BN5" i="11" l="1"/>
  <c r="BM6" i="11"/>
  <c r="AK6" i="11"/>
  <c r="BL4" i="11" l="1"/>
  <c r="BO5" i="11"/>
  <c r="BN6" i="11"/>
  <c r="AL6" i="11"/>
  <c r="BP5" i="11" l="1"/>
  <c r="BO6" i="11"/>
  <c r="AM6" i="11"/>
  <c r="BQ5" i="11" l="1"/>
  <c r="BP6" i="11"/>
  <c r="AN6" i="11"/>
  <c r="BR5" i="11" l="1"/>
  <c r="BQ4" i="11"/>
  <c r="BQ6" i="11"/>
  <c r="AO6" i="11"/>
  <c r="BS5" i="11" l="1"/>
  <c r="BR6" i="11"/>
  <c r="AP6" i="11"/>
  <c r="BT5" i="11" l="1"/>
  <c r="BS6" i="11"/>
  <c r="AQ6" i="11"/>
  <c r="BU5" i="11" l="1"/>
  <c r="BT6" i="11"/>
  <c r="AR6" i="11"/>
  <c r="BV5" i="11" l="1"/>
  <c r="BU6" i="11"/>
  <c r="BW5" i="11" l="1"/>
  <c r="BV6" i="11"/>
  <c r="BX5" i="11" l="1"/>
  <c r="BW6" i="11"/>
  <c r="BV4" i="11" l="1"/>
  <c r="BY5" i="11"/>
  <c r="BX6" i="11"/>
  <c r="BZ5" i="11" l="1"/>
  <c r="BY6" i="11"/>
  <c r="CA5" i="11" l="1"/>
  <c r="BZ6" i="11"/>
  <c r="CB5" i="11" l="1"/>
  <c r="CA4" i="11"/>
  <c r="CA6" i="11"/>
  <c r="CC5" i="11" l="1"/>
  <c r="CB6" i="11"/>
  <c r="CD5" i="11" l="1"/>
  <c r="CC6" i="11"/>
  <c r="CE5" i="11" l="1"/>
  <c r="CD6" i="11"/>
  <c r="CF5" i="11" l="1"/>
  <c r="CE6" i="11"/>
  <c r="CG5" i="11" l="1"/>
  <c r="CF6" i="11"/>
  <c r="CH5" i="11" l="1"/>
  <c r="CG6" i="11"/>
  <c r="CF4" i="11" l="1"/>
  <c r="CI5" i="11"/>
  <c r="CH6" i="11"/>
  <c r="CJ5" i="11" l="1"/>
  <c r="CI6" i="11"/>
  <c r="CK5" i="11" l="1"/>
  <c r="CJ6" i="11"/>
  <c r="CK4" i="11" l="1"/>
  <c r="CL5" i="11"/>
  <c r="CK6" i="11"/>
  <c r="CM5" i="11" l="1"/>
  <c r="CL6" i="11"/>
  <c r="CN5" i="11" l="1"/>
  <c r="CM6" i="11"/>
  <c r="CO5" i="11" l="1"/>
  <c r="CN6" i="11"/>
  <c r="CP5" i="11" l="1"/>
  <c r="CO6" i="11"/>
  <c r="CQ5" i="11" l="1"/>
  <c r="CP6" i="11"/>
  <c r="CR5" i="11" l="1"/>
  <c r="CQ6" i="11"/>
  <c r="CP4" i="11" l="1"/>
  <c r="CS5" i="11"/>
  <c r="CR6" i="11"/>
  <c r="CT5" i="11" l="1"/>
  <c r="CS6" i="11"/>
  <c r="CU5" i="11" l="1"/>
  <c r="CT6" i="11"/>
  <c r="CV5" i="11" l="1"/>
  <c r="CU4" i="11"/>
  <c r="CU6" i="11"/>
  <c r="CW5" i="11" l="1"/>
  <c r="CV6" i="11"/>
  <c r="CX5" i="11" l="1"/>
  <c r="CW6" i="11"/>
  <c r="CY5" i="11" l="1"/>
  <c r="CX6" i="11"/>
  <c r="CZ5" i="11" l="1"/>
  <c r="CY6" i="11"/>
  <c r="DA5" i="11" l="1"/>
  <c r="CZ6" i="11"/>
  <c r="DB5" i="11" l="1"/>
  <c r="DA6" i="11"/>
  <c r="CZ4" i="11" l="1"/>
  <c r="DC5" i="11"/>
  <c r="DB6" i="11"/>
  <c r="DD5" i="11" l="1"/>
  <c r="DC6" i="11"/>
  <c r="DE5" i="11" l="1"/>
  <c r="DD6" i="11"/>
  <c r="DE4" i="11" l="1"/>
  <c r="DF5" i="11"/>
  <c r="DE6" i="11"/>
  <c r="DG5" i="11" l="1"/>
  <c r="DF6" i="11"/>
  <c r="DH5" i="11" l="1"/>
  <c r="DG6" i="11"/>
  <c r="DI5" i="11" l="1"/>
  <c r="DH6" i="11"/>
  <c r="DJ5" i="11" l="1"/>
  <c r="DI6" i="11"/>
  <c r="DK5" i="11" l="1"/>
  <c r="DJ6" i="11"/>
  <c r="DL5" i="11" l="1"/>
  <c r="DK6" i="11"/>
  <c r="DM5" i="11" l="1"/>
  <c r="DJ4" i="11"/>
  <c r="DL6" i="11"/>
  <c r="DN5" i="11" l="1"/>
  <c r="DM6" i="11"/>
  <c r="DO5" i="11" l="1"/>
  <c r="DN6" i="11"/>
  <c r="DP5" i="11" l="1"/>
  <c r="DO4" i="11"/>
  <c r="DO6" i="11"/>
  <c r="DQ5" i="11" l="1"/>
  <c r="DP6" i="11"/>
  <c r="DR5" i="11" l="1"/>
  <c r="DQ6" i="11"/>
  <c r="DS5" i="11" l="1"/>
  <c r="DR6" i="11"/>
  <c r="DT5" i="11" l="1"/>
  <c r="DS6" i="11"/>
  <c r="DU5" i="11" l="1"/>
  <c r="DT6" i="11"/>
  <c r="DV5" i="11" l="1"/>
  <c r="DU6" i="11"/>
  <c r="DT4" i="11" l="1"/>
  <c r="DW5" i="11"/>
  <c r="DV6" i="11"/>
  <c r="DX5" i="11" l="1"/>
  <c r="DW6" i="11"/>
  <c r="DY5" i="11" l="1"/>
  <c r="DX6" i="11"/>
  <c r="DZ5" i="11" l="1"/>
  <c r="DY4" i="11"/>
  <c r="DY6" i="11"/>
  <c r="EA5" i="11" l="1"/>
  <c r="DZ6" i="11"/>
  <c r="EB5" i="11" l="1"/>
  <c r="EA6" i="11"/>
  <c r="EC5" i="11" l="1"/>
  <c r="EB6" i="11"/>
  <c r="ED5" i="11" l="1"/>
  <c r="EC6" i="11"/>
  <c r="EE5" i="11" l="1"/>
  <c r="ED6" i="11"/>
  <c r="EF5" i="11" l="1"/>
  <c r="EE6" i="11"/>
  <c r="ED4" i="11" l="1"/>
  <c r="EG5" i="11"/>
  <c r="EF6" i="11"/>
  <c r="EH5" i="11" l="1"/>
  <c r="EG6" i="11"/>
  <c r="EI5" i="11" l="1"/>
  <c r="EH6" i="11"/>
  <c r="EI4" i="11" l="1"/>
  <c r="EJ5" i="11"/>
  <c r="EI6" i="11"/>
  <c r="EK5" i="11" l="1"/>
  <c r="EJ6" i="11"/>
  <c r="EL5" i="11" l="1"/>
  <c r="EK6" i="11"/>
  <c r="EM5" i="11" l="1"/>
  <c r="EL6" i="11"/>
  <c r="EN5" i="11" l="1"/>
  <c r="EM6" i="11"/>
  <c r="EO5" i="11" l="1"/>
  <c r="EN6" i="11"/>
  <c r="EP5" i="11" l="1"/>
  <c r="EO6" i="11"/>
  <c r="EQ5" i="11" l="1"/>
  <c r="EN4" i="11"/>
  <c r="EP6" i="11"/>
  <c r="ER5" i="11" l="1"/>
  <c r="EQ6" i="11"/>
  <c r="ES5" i="11" l="1"/>
  <c r="ER6" i="11"/>
  <c r="ES4" i="11" l="1"/>
  <c r="ET5" i="11"/>
  <c r="ES6" i="11"/>
  <c r="EU5" i="11" l="1"/>
  <c r="ET6" i="11"/>
  <c r="EV5" i="11" l="1"/>
  <c r="EU6" i="11"/>
  <c r="EW5" i="11" l="1"/>
  <c r="EV6" i="11"/>
  <c r="EX5" i="11" l="1"/>
  <c r="EW6" i="11"/>
  <c r="EY5" i="11" l="1"/>
  <c r="EX6" i="11"/>
  <c r="EZ5" i="11" l="1"/>
  <c r="EY6" i="11"/>
  <c r="EX4" i="11" l="1"/>
  <c r="FA5" i="11"/>
  <c r="EZ6" i="11"/>
  <c r="FB5" i="11" l="1"/>
  <c r="FA6" i="11"/>
  <c r="FC5" i="11" l="1"/>
  <c r="FB6" i="11"/>
  <c r="FC4" i="11" l="1"/>
  <c r="FD5" i="11"/>
  <c r="FC6" i="11"/>
  <c r="FE5" i="11" l="1"/>
  <c r="FD6" i="11"/>
  <c r="FF5" i="11" l="1"/>
  <c r="FE6" i="11"/>
  <c r="FG5" i="11" l="1"/>
  <c r="FF6" i="11"/>
  <c r="FH5" i="11" l="1"/>
  <c r="FG6" i="11"/>
  <c r="FI5" i="11" l="1"/>
  <c r="FH6" i="11"/>
  <c r="FJ5" i="11" l="1"/>
  <c r="FI6" i="11"/>
  <c r="FH4" i="11" l="1"/>
  <c r="FK5" i="11"/>
  <c r="FJ6" i="11"/>
  <c r="FL5" i="11" l="1"/>
  <c r="FK6" i="11"/>
  <c r="FM5" i="11" l="1"/>
  <c r="FL6" i="11"/>
  <c r="FM4" i="11" l="1"/>
  <c r="FN5" i="11"/>
  <c r="FM6" i="11"/>
  <c r="FO5" i="11" l="1"/>
  <c r="FN6" i="11"/>
  <c r="FP5" i="11" l="1"/>
  <c r="FO6" i="11"/>
  <c r="FQ5" i="11" l="1"/>
  <c r="FP6" i="11"/>
  <c r="FR5" i="11" l="1"/>
  <c r="FQ6" i="11"/>
  <c r="FS5" i="11" l="1"/>
  <c r="FR6" i="11"/>
  <c r="FT5" i="11" l="1"/>
  <c r="FS6" i="11"/>
  <c r="FR4" i="11" l="1"/>
  <c r="FU5" i="11"/>
  <c r="FT6" i="11"/>
  <c r="FV5" i="11" l="1"/>
  <c r="FU6" i="11"/>
  <c r="FW5" i="11" l="1"/>
  <c r="FV6" i="11"/>
  <c r="FX5" i="11" l="1"/>
  <c r="FW4" i="11"/>
  <c r="FW6" i="11"/>
  <c r="FY5" i="11" l="1"/>
  <c r="FX6" i="11"/>
  <c r="FZ5" i="11" l="1"/>
  <c r="FY6" i="11"/>
  <c r="GA5" i="11" l="1"/>
  <c r="FZ6" i="11"/>
  <c r="GB5" i="11" l="1"/>
  <c r="GA6" i="11"/>
  <c r="GC5" i="11" l="1"/>
  <c r="GB6" i="11"/>
  <c r="GD5" i="11" l="1"/>
  <c r="GC6" i="11"/>
  <c r="GE5" i="11" l="1"/>
  <c r="GB4" i="11"/>
  <c r="GD6" i="11"/>
  <c r="GF5" i="11" l="1"/>
  <c r="GE6" i="11"/>
  <c r="GG5" i="11" l="1"/>
  <c r="GF6" i="11"/>
  <c r="GG4" i="11" l="1"/>
  <c r="GH5" i="11"/>
  <c r="GG6" i="11"/>
  <c r="GI5" i="11" l="1"/>
  <c r="GH6" i="11"/>
  <c r="GJ5" i="11" l="1"/>
  <c r="GI6" i="11"/>
  <c r="GK5" i="11" l="1"/>
  <c r="GJ6" i="11"/>
  <c r="GL5" i="11" l="1"/>
  <c r="GK6" i="11"/>
  <c r="GM5" i="11" l="1"/>
  <c r="GL6" i="11"/>
  <c r="GN5" i="11" l="1"/>
  <c r="GM6" i="11"/>
  <c r="GL4" i="11" l="1"/>
  <c r="GO5" i="11"/>
  <c r="GN6" i="11"/>
  <c r="GP5" i="11" l="1"/>
  <c r="GO6" i="11"/>
  <c r="GQ5" i="11" l="1"/>
  <c r="GP6" i="11"/>
  <c r="GQ4" i="11" l="1"/>
  <c r="GR5" i="11"/>
  <c r="GQ6" i="11"/>
  <c r="GS5" i="11" l="1"/>
  <c r="GR6" i="11"/>
  <c r="GT5" i="11" l="1"/>
  <c r="GS6" i="11"/>
  <c r="GU5" i="11" l="1"/>
  <c r="GT6" i="11"/>
  <c r="GV5" i="11" l="1"/>
  <c r="GU6" i="11"/>
  <c r="GW5" i="11" l="1"/>
  <c r="GV6" i="11"/>
  <c r="GX5" i="11" l="1"/>
  <c r="GW6" i="11"/>
  <c r="GV4" i="11" l="1"/>
  <c r="GY5" i="11"/>
  <c r="GX6" i="11"/>
  <c r="GZ5" i="11" l="1"/>
  <c r="GY6" i="11"/>
  <c r="HA5" i="11" l="1"/>
  <c r="GZ6" i="11"/>
  <c r="HB5" i="11" l="1"/>
  <c r="HA4" i="11"/>
  <c r="HA6" i="11"/>
  <c r="HC5" i="11" l="1"/>
  <c r="HB6" i="11"/>
  <c r="HD5" i="11" l="1"/>
  <c r="HC6" i="11"/>
  <c r="HE5" i="11" l="1"/>
  <c r="HD6" i="11"/>
  <c r="HF5" i="11" l="1"/>
  <c r="HE6" i="11"/>
  <c r="HG5" i="11" l="1"/>
  <c r="HF6" i="11"/>
  <c r="HH5" i="11" l="1"/>
  <c r="HG6" i="11"/>
  <c r="HF4" i="11" l="1"/>
  <c r="HI5" i="11"/>
  <c r="HH6" i="11"/>
  <c r="HJ5" i="11" l="1"/>
  <c r="HI6" i="11"/>
  <c r="HK5" i="11" l="1"/>
  <c r="HJ6" i="11"/>
  <c r="HL5" i="11" l="1"/>
  <c r="HK4" i="11"/>
  <c r="HK6" i="11"/>
  <c r="HM5" i="11" l="1"/>
  <c r="HL6" i="11"/>
  <c r="HN5" i="11" l="1"/>
  <c r="HM6" i="11"/>
  <c r="HO5" i="11" l="1"/>
  <c r="HN6" i="11"/>
  <c r="HP5" i="11" l="1"/>
  <c r="HO6" i="11"/>
  <c r="HQ5" i="11" l="1"/>
  <c r="HP6" i="11"/>
  <c r="HR5" i="11" l="1"/>
  <c r="HQ6" i="11"/>
  <c r="HS5" i="11" l="1"/>
  <c r="HP4" i="11"/>
  <c r="HR6" i="11"/>
  <c r="HT5" i="11" l="1"/>
  <c r="HS6" i="11"/>
  <c r="HU5" i="11" l="1"/>
  <c r="HT6" i="11"/>
  <c r="HV5" i="11" l="1"/>
  <c r="HU4" i="11"/>
  <c r="HU6" i="11"/>
  <c r="HW5" i="11" l="1"/>
  <c r="HV6" i="11"/>
  <c r="HX5" i="11" l="1"/>
  <c r="HW6" i="11"/>
  <c r="HY5" i="11" l="1"/>
  <c r="HX6" i="11"/>
  <c r="HZ5" i="11" l="1"/>
  <c r="HY6" i="11"/>
  <c r="IA5" i="11" l="1"/>
  <c r="HZ6" i="11"/>
  <c r="IB5" i="11" l="1"/>
  <c r="IA6" i="11"/>
  <c r="IC5" i="11" l="1"/>
  <c r="HZ4" i="11"/>
  <c r="IB6" i="11"/>
  <c r="ID5" i="11" l="1"/>
  <c r="ID6" i="11" s="1"/>
  <c r="IC6" i="11"/>
</calcChain>
</file>

<file path=xl/sharedStrings.xml><?xml version="1.0" encoding="utf-8"?>
<sst xmlns="http://schemas.openxmlformats.org/spreadsheetml/2006/main" count="64" uniqueCount="62">
  <si>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</si>
  <si>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</si>
  <si>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</si>
  <si>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</si>
  <si>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</si>
  <si>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</si>
  <si>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</si>
  <si>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</si>
  <si>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</si>
  <si>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</si>
  <si>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</si>
  <si>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</si>
  <si>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</si>
  <si>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</si>
  <si>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TASK</t>
  </si>
  <si>
    <t>Insert new rows ABOVE this one</t>
  </si>
  <si>
    <t>Project Start:</t>
  </si>
  <si>
    <t>Display Week:</t>
  </si>
  <si>
    <t>PROGRESS</t>
  </si>
  <si>
    <t>START</t>
  </si>
  <si>
    <t>END</t>
  </si>
  <si>
    <t>DAYS</t>
  </si>
  <si>
    <t>Digital Controlled Oscillator</t>
  </si>
  <si>
    <t>Renishaw plc</t>
  </si>
  <si>
    <t>Benjamin Bolton</t>
  </si>
  <si>
    <t>Identify Circuit Topology</t>
  </si>
  <si>
    <t>Simulate Circuit</t>
  </si>
  <si>
    <t>Capture Requirements</t>
  </si>
  <si>
    <t>Define User Interface</t>
  </si>
  <si>
    <t>Tolerance analysis</t>
  </si>
  <si>
    <t>Initial Analysis</t>
  </si>
  <si>
    <t>Physcial Design</t>
  </si>
  <si>
    <t>Zuken Schematic</t>
  </si>
  <si>
    <t>Define Mechanical Constraints</t>
  </si>
  <si>
    <t>Write Test Plan</t>
  </si>
  <si>
    <t>Partition Circuit for SI/PI</t>
  </si>
  <si>
    <t>Place Components</t>
  </si>
  <si>
    <t>Route Connections</t>
  </si>
  <si>
    <t>Create BOM</t>
  </si>
  <si>
    <t>Source Components</t>
  </si>
  <si>
    <t>Write CDI Document</t>
  </si>
  <si>
    <t>Get PCB Reviewed</t>
  </si>
  <si>
    <t>Make Manufacture Files</t>
  </si>
  <si>
    <t>Assemble Board</t>
  </si>
  <si>
    <t>Testing</t>
  </si>
  <si>
    <t>Write Software</t>
  </si>
  <si>
    <t>Test Board according to plan</t>
  </si>
  <si>
    <t>Write up test results</t>
  </si>
  <si>
    <t>Plan Approach</t>
  </si>
  <si>
    <t>Write software</t>
  </si>
  <si>
    <t>Test Software</t>
  </si>
  <si>
    <t>Design Circuit</t>
  </si>
  <si>
    <t>Basic Board tests</t>
  </si>
  <si>
    <t>List  of Requiremeents</t>
  </si>
  <si>
    <t>PCB Test Plan</t>
  </si>
  <si>
    <t>CDI Document</t>
  </si>
  <si>
    <t>Zuken PCB Layout</t>
  </si>
  <si>
    <t>Manufacturing Files</t>
  </si>
  <si>
    <t>Physical PCB</t>
  </si>
  <si>
    <t>Assembled PCB</t>
  </si>
  <si>
    <t>MCU Software</t>
  </si>
  <si>
    <t>Test Results/Report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</si>
</sst>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5" tint="0.39997558519241921"/>
        <bgColor indexed="64"/>
      </patternFill>
    </fill>
  </fills>
  <borders count="24">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69696"/>
      </left>
      <right style="thin">
        <color theme="0" tint="-0.14993743705557422"/>
      </right>
      <top style="medium">
        <color theme="0" tint="-0.14996795556505021"/>
      </top>
      <bottom style="medium">
        <color theme="0" tint="-0.14996795556505021"/>
      </bottom>
      <diagonal/>
    </border>
    <border>
      <left style="thin">
        <color theme="0" tint="-0.14993743705557422"/>
      </left>
      <right/>
      <top style="medium">
        <color theme="0" tint="-0.14996795556505021"/>
      </top>
      <bottom style="medium">
        <color theme="0" tint="-0.14996795556505021"/>
      </bottom>
      <diagonal/>
    </border>
    <border>
      <left/>
      <right style="thin">
        <color rgb="FF969696"/>
      </right>
      <top style="thin">
        <color theme="0" tint="-0.34998626667073579"/>
      </top>
      <bottom/>
      <diagonal/>
    </border>
    <border>
      <left style="thin">
        <color rgb="FF969696"/>
      </left>
      <right/>
      <top style="thin">
        <color theme="0" tint="-0.34998626667073579"/>
      </top>
      <bottom/>
      <diagonal/>
    </border>
    <border>
      <left/>
      <right style="thin">
        <color rgb="FF969696"/>
      </right>
      <top/>
      <bottom/>
      <diagonal/>
    </border>
    <border>
      <left style="thin">
        <color theme="0" tint="-0.14993743705557422"/>
      </left>
      <right style="thick">
        <color rgb="FFFF0000"/>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ck">
        <color rgb="FFFF0000"/>
      </left>
      <right style="thin">
        <color theme="0" tint="-0.14993743705557422"/>
      </right>
      <top style="medium">
        <color theme="0" tint="-0.14996795556505021"/>
      </top>
      <bottom style="medium">
        <color theme="0" tint="-0.14996795556505021"/>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4" fillId="17" borderId="10" applyNumberFormat="0" applyAlignment="0" applyProtection="0"/>
    <xf numFmtId="0" fontId="25" fillId="18" borderId="11" applyNumberFormat="0" applyAlignment="0" applyProtection="0"/>
    <xf numFmtId="0" fontId="26" fillId="18" borderId="10" applyNumberFormat="0" applyAlignment="0" applyProtection="0"/>
    <xf numFmtId="0" fontId="27" fillId="0" borderId="12" applyNumberFormat="0" applyFill="0" applyAlignment="0" applyProtection="0"/>
    <xf numFmtId="0" fontId="28" fillId="19" borderId="13" applyNumberFormat="0" applyAlignment="0" applyProtection="0"/>
    <xf numFmtId="0" fontId="29" fillId="0" borderId="0" applyNumberFormat="0" applyFill="0" applyBorder="0" applyAlignment="0" applyProtection="0"/>
    <xf numFmtId="0" fontId="9" fillId="20" borderId="14" applyNumberFormat="0" applyFont="0" applyAlignment="0" applyProtection="0"/>
    <xf numFmtId="0" fontId="30" fillId="0" borderId="0" applyNumberFormat="0" applyFill="0" applyBorder="0" applyAlignment="0" applyProtection="0"/>
    <xf numFmtId="0" fontId="6" fillId="0" borderId="15" applyNumberFormat="0" applyFill="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6"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6"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7"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8" xfId="0" applyBorder="1" applyAlignment="1">
      <alignment vertical="center"/>
    </xf>
    <xf numFmtId="0" fontId="0" fillId="0" borderId="8" xfId="0" applyBorder="1" applyAlignment="1">
      <alignment horizontal="right" vertical="center"/>
    </xf>
    <xf numFmtId="0" fontId="0" fillId="2" borderId="8"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0" borderId="2" xfId="11">
      <alignment horizontal="center" vertical="center"/>
    </xf>
    <xf numFmtId="0" fontId="9" fillId="0" borderId="2" xfId="12">
      <alignment horizontal="left" vertical="center" indent="2"/>
    </xf>
    <xf numFmtId="0" fontId="0" fillId="0" borderId="9" xfId="0" applyBorder="1"/>
    <xf numFmtId="0" fontId="17" fillId="0" borderId="0" xfId="0" applyFont="1"/>
    <xf numFmtId="0" fontId="18" fillId="0" borderId="0" xfId="1" applyFont="1" applyProtection="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8" fontId="11" fillId="7" borderId="5"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0" fontId="9" fillId="3" borderId="2" xfId="12" applyFill="1">
      <alignment horizontal="left" vertical="center" indent="2"/>
    </xf>
    <xf numFmtId="169" fontId="0" fillId="7" borderId="1" xfId="0" applyNumberFormat="1" applyFill="1" applyBorder="1" applyAlignment="1">
      <alignment horizontal="left" vertical="center" wrapText="1" indent="1"/>
    </xf>
    <xf numFmtId="0" fontId="0" fillId="45" borderId="0" xfId="0" applyFill="1"/>
    <xf numFmtId="168" fontId="11" fillId="45" borderId="0" xfId="0" applyNumberFormat="1" applyFont="1" applyFill="1" applyAlignment="1">
      <alignment horizontal="center" vertical="center"/>
    </xf>
    <xf numFmtId="0" fontId="0" fillId="0" borderId="17" xfId="0" applyBorder="1" applyAlignment="1">
      <alignment vertical="center"/>
    </xf>
    <xf numFmtId="0" fontId="0" fillId="0" borderId="16" xfId="0" applyBorder="1" applyAlignment="1">
      <alignment vertical="center"/>
    </xf>
    <xf numFmtId="168" fontId="11" fillId="7" borderId="20" xfId="0" applyNumberFormat="1" applyFont="1" applyFill="1" applyBorder="1" applyAlignment="1">
      <alignment horizontal="center" vertical="center"/>
    </xf>
    <xf numFmtId="0" fontId="0" fillId="46" borderId="8" xfId="0" applyFill="1" applyBorder="1" applyAlignment="1">
      <alignment vertical="center"/>
    </xf>
    <xf numFmtId="0" fontId="9" fillId="0" borderId="0" xfId="8">
      <alignment horizontal="right" indent="1"/>
    </xf>
    <xf numFmtId="0" fontId="9" fillId="0" borderId="6" xfId="8" applyBorder="1">
      <alignment horizontal="right" indent="1"/>
    </xf>
    <xf numFmtId="166" fontId="9" fillId="0" borderId="3" xfId="9">
      <alignment horizontal="center" vertical="center"/>
    </xf>
    <xf numFmtId="0" fontId="9" fillId="4" borderId="2" xfId="12" applyFill="1">
      <alignment horizontal="left" vertical="center" indent="2"/>
    </xf>
    <xf numFmtId="0" fontId="6" fillId="8" borderId="2" xfId="0" applyFont="1" applyFill="1" applyBorder="1" applyAlignment="1">
      <alignment horizontal="left" vertical="center" indent="1"/>
    </xf>
    <xf numFmtId="0" fontId="9" fillId="3" borderId="2" xfId="12" applyFill="1">
      <alignment horizontal="left" vertical="center" indent="2"/>
    </xf>
    <xf numFmtId="0" fontId="6" fillId="6" borderId="2" xfId="0" applyFont="1" applyFill="1" applyBorder="1" applyAlignment="1">
      <alignment horizontal="left" vertical="center" indent="1"/>
    </xf>
    <xf numFmtId="0" fontId="9" fillId="11" borderId="2" xfId="12" applyFill="1">
      <alignment horizontal="left" vertical="center" indent="2"/>
    </xf>
    <xf numFmtId="0" fontId="6" fillId="9" borderId="2" xfId="0" applyFont="1" applyFill="1" applyBorder="1" applyAlignment="1">
      <alignment horizontal="left" vertical="center" indent="1"/>
    </xf>
    <xf numFmtId="169" fontId="0" fillId="7" borderId="19" xfId="0" applyNumberFormat="1" applyFill="1" applyBorder="1" applyAlignment="1">
      <alignment horizontal="center" vertical="center" wrapText="1"/>
    </xf>
    <xf numFmtId="169" fontId="0" fillId="7" borderId="1" xfId="0" applyNumberFormat="1" applyFill="1" applyBorder="1" applyAlignment="1">
      <alignment horizontal="center" vertical="center" wrapText="1"/>
    </xf>
    <xf numFmtId="169" fontId="0" fillId="7" borderId="4" xfId="0" applyNumberFormat="1" applyFill="1" applyBorder="1" applyAlignment="1">
      <alignment horizontal="center" vertical="center" wrapText="1"/>
    </xf>
    <xf numFmtId="169" fontId="0" fillId="7" borderId="18" xfId="0" applyNumberFormat="1" applyFill="1" applyBorder="1" applyAlignment="1">
      <alignment horizontal="center" vertical="center" wrapText="1"/>
    </xf>
    <xf numFmtId="0" fontId="9" fillId="10" borderId="2" xfId="12" applyFill="1">
      <alignment horizontal="left" vertical="center" indent="2"/>
    </xf>
    <xf numFmtId="0" fontId="6" fillId="5" borderId="2" xfId="0" applyFont="1" applyFill="1" applyBorder="1" applyAlignment="1">
      <alignment horizontal="left" vertical="center" indent="1"/>
    </xf>
    <xf numFmtId="169" fontId="0" fillId="45" borderId="0" xfId="0" applyNumberFormat="1" applyFill="1" applyAlignment="1">
      <alignment horizontal="left" vertical="center" wrapText="1" indent="1"/>
    </xf>
    <xf numFmtId="0" fontId="0" fillId="0" borderId="22" xfId="0" applyBorder="1" applyAlignment="1">
      <alignment vertical="center"/>
    </xf>
    <xf numFmtId="0" fontId="0" fillId="0" borderId="21" xfId="0" applyBorder="1" applyAlignment="1">
      <alignment horizontal="right" vertical="center"/>
    </xf>
    <xf numFmtId="0" fontId="0" fillId="0" borderId="21" xfId="0" applyBorder="1" applyAlignment="1">
      <alignment vertical="center"/>
    </xf>
    <xf numFmtId="0" fontId="0" fillId="0" borderId="23" xfId="0" applyBorder="1" applyAlignment="1">
      <alignment vertical="center"/>
    </xf>
    <xf numFmtId="0" fontId="0" fillId="46" borderId="22" xfId="0" applyFill="1" applyBorder="1" applyAlignment="1">
      <alignment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69696"/>
      <color rgb="FF215881"/>
      <color rgb="FF42648A"/>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W41"/>
  <sheetViews>
    <sheetView showGridLines="0" tabSelected="1" showRuler="0" topLeftCell="Q1" zoomScale="70" zoomScaleNormal="70" zoomScalePageLayoutView="70" workbookViewId="0">
      <pane ySplit="6" topLeftCell="A17" activePane="bottomLeft" state="frozen"/>
      <selection pane="bottomLeft" activeCell="EB35" sqref="EB35"/>
    </sheetView>
  </sheetViews>
  <sheetFormatPr defaultColWidth="2.5546875" defaultRowHeight="30" customHeight="1" x14ac:dyDescent="0.3"/>
  <cols>
    <col min="1" max="1" width="2.6640625" style="31" customWidth="1"/>
    <col min="2" max="2" width="19.8867187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s>
  <sheetData>
    <row r="1" spans="1:283" ht="30" customHeight="1" x14ac:dyDescent="0.55000000000000004">
      <c r="A1" s="32" t="s">
        <v>0</v>
      </c>
      <c r="B1" s="35" t="s">
        <v>22</v>
      </c>
      <c r="C1" s="1"/>
      <c r="D1" s="2"/>
      <c r="E1" s="4"/>
      <c r="F1" s="30"/>
      <c r="H1" s="2"/>
      <c r="I1" s="41"/>
    </row>
    <row r="2" spans="1:283" ht="30" customHeight="1" x14ac:dyDescent="0.35">
      <c r="A2" s="31" t="s">
        <v>1</v>
      </c>
      <c r="B2" s="36" t="s">
        <v>23</v>
      </c>
      <c r="I2" s="42"/>
    </row>
    <row r="3" spans="1:283" ht="30" customHeight="1" x14ac:dyDescent="0.3">
      <c r="A3" s="31" t="s">
        <v>2</v>
      </c>
      <c r="B3" s="37" t="s">
        <v>24</v>
      </c>
      <c r="C3" s="69" t="s">
        <v>16</v>
      </c>
      <c r="D3" s="70"/>
      <c r="E3" s="71">
        <f>DATE(2025,10,27)</f>
        <v>45957</v>
      </c>
      <c r="F3" s="71"/>
    </row>
    <row r="4" spans="1:283" ht="30" customHeight="1" x14ac:dyDescent="0.3">
      <c r="A4" s="32" t="s">
        <v>3</v>
      </c>
      <c r="C4" s="69" t="s">
        <v>17</v>
      </c>
      <c r="D4" s="70"/>
      <c r="E4" s="7">
        <v>1</v>
      </c>
      <c r="I4" s="80">
        <f>I5</f>
        <v>45957</v>
      </c>
      <c r="J4" s="79"/>
      <c r="K4" s="79"/>
      <c r="L4" s="79"/>
      <c r="M4" s="81"/>
      <c r="N4" s="78">
        <f>P5</f>
        <v>45966</v>
      </c>
      <c r="O4" s="79"/>
      <c r="P4" s="79"/>
      <c r="Q4" s="79"/>
      <c r="R4" s="79"/>
      <c r="S4" s="80">
        <f t="shared" ref="S4" si="0">S5</f>
        <v>45971</v>
      </c>
      <c r="T4" s="79"/>
      <c r="U4" s="79"/>
      <c r="V4" s="79"/>
      <c r="W4" s="81"/>
      <c r="X4" s="78">
        <f t="shared" ref="X4" si="1">Z5</f>
        <v>45980</v>
      </c>
      <c r="Y4" s="79"/>
      <c r="Z4" s="79"/>
      <c r="AA4" s="79"/>
      <c r="AB4" s="79"/>
      <c r="AC4" s="80">
        <f t="shared" ref="AC4" si="2">AC5</f>
        <v>45985</v>
      </c>
      <c r="AD4" s="79"/>
      <c r="AE4" s="79"/>
      <c r="AF4" s="79"/>
      <c r="AG4" s="81"/>
      <c r="AH4" s="78">
        <f t="shared" ref="AH4" si="3">AJ5</f>
        <v>45994</v>
      </c>
      <c r="AI4" s="79"/>
      <c r="AJ4" s="79"/>
      <c r="AK4" s="79"/>
      <c r="AL4" s="79"/>
      <c r="AM4" s="80">
        <f t="shared" ref="AM4" si="4">AM5</f>
        <v>45999</v>
      </c>
      <c r="AN4" s="79"/>
      <c r="AO4" s="79"/>
      <c r="AP4" s="79"/>
      <c r="AQ4" s="81"/>
      <c r="AR4" s="78">
        <f t="shared" ref="AR4" si="5">AT5</f>
        <v>46008</v>
      </c>
      <c r="AS4" s="79"/>
      <c r="AT4" s="79"/>
      <c r="AU4" s="79"/>
      <c r="AV4" s="79"/>
      <c r="AW4" s="80">
        <f t="shared" ref="AW4" si="6">AW5</f>
        <v>46013</v>
      </c>
      <c r="AX4" s="79"/>
      <c r="AY4" s="79"/>
      <c r="AZ4" s="79"/>
      <c r="BA4" s="81"/>
      <c r="BB4" s="78">
        <f t="shared" ref="BB4" si="7">BD5</f>
        <v>46022</v>
      </c>
      <c r="BC4" s="79"/>
      <c r="BD4" s="79"/>
      <c r="BE4" s="79"/>
      <c r="BF4" s="79"/>
      <c r="BG4" s="80">
        <f t="shared" ref="BG4" si="8">BG5</f>
        <v>46027</v>
      </c>
      <c r="BH4" s="79"/>
      <c r="BI4" s="79"/>
      <c r="BJ4" s="79"/>
      <c r="BK4" s="81"/>
      <c r="BL4" s="78">
        <f t="shared" ref="BL4" si="9">BN5</f>
        <v>46036</v>
      </c>
      <c r="BM4" s="79"/>
      <c r="BN4" s="79"/>
      <c r="BO4" s="79"/>
      <c r="BP4" s="79"/>
      <c r="BQ4" s="80">
        <f t="shared" ref="BQ4" si="10">BQ5</f>
        <v>46041</v>
      </c>
      <c r="BR4" s="79"/>
      <c r="BS4" s="79"/>
      <c r="BT4" s="79"/>
      <c r="BU4" s="81"/>
      <c r="BV4" s="78">
        <f t="shared" ref="BV4" si="11">BX5</f>
        <v>46050</v>
      </c>
      <c r="BW4" s="79"/>
      <c r="BX4" s="79"/>
      <c r="BY4" s="79"/>
      <c r="BZ4" s="79"/>
      <c r="CA4" s="80">
        <f t="shared" ref="CA4" si="12">CA5</f>
        <v>46055</v>
      </c>
      <c r="CB4" s="79"/>
      <c r="CC4" s="79"/>
      <c r="CD4" s="79"/>
      <c r="CE4" s="81"/>
      <c r="CF4" s="78">
        <f t="shared" ref="CF4" si="13">CH5</f>
        <v>46064</v>
      </c>
      <c r="CG4" s="79"/>
      <c r="CH4" s="79"/>
      <c r="CI4" s="79"/>
      <c r="CJ4" s="79"/>
      <c r="CK4" s="80">
        <f t="shared" ref="CK4" si="14">CK5</f>
        <v>46069</v>
      </c>
      <c r="CL4" s="79"/>
      <c r="CM4" s="79"/>
      <c r="CN4" s="79"/>
      <c r="CO4" s="81"/>
      <c r="CP4" s="78">
        <f t="shared" ref="CP4" si="15">CR5</f>
        <v>46078</v>
      </c>
      <c r="CQ4" s="79"/>
      <c r="CR4" s="79"/>
      <c r="CS4" s="79"/>
      <c r="CT4" s="79"/>
      <c r="CU4" s="80">
        <f t="shared" ref="CU4" si="16">CU5</f>
        <v>46083</v>
      </c>
      <c r="CV4" s="79"/>
      <c r="CW4" s="79"/>
      <c r="CX4" s="79"/>
      <c r="CY4" s="81"/>
      <c r="CZ4" s="78">
        <f t="shared" ref="CZ4" si="17">DB5</f>
        <v>46092</v>
      </c>
      <c r="DA4" s="79"/>
      <c r="DB4" s="79"/>
      <c r="DC4" s="79"/>
      <c r="DD4" s="79"/>
      <c r="DE4" s="80">
        <f t="shared" ref="DE4" si="18">DE5</f>
        <v>46097</v>
      </c>
      <c r="DF4" s="79"/>
      <c r="DG4" s="79"/>
      <c r="DH4" s="79"/>
      <c r="DI4" s="81"/>
      <c r="DJ4" s="78">
        <f t="shared" ref="DJ4" si="19">DL5</f>
        <v>46106</v>
      </c>
      <c r="DK4" s="79"/>
      <c r="DL4" s="79"/>
      <c r="DM4" s="79"/>
      <c r="DN4" s="79"/>
      <c r="DO4" s="80">
        <f t="shared" ref="DO4" si="20">DO5</f>
        <v>46111</v>
      </c>
      <c r="DP4" s="79"/>
      <c r="DQ4" s="79"/>
      <c r="DR4" s="79"/>
      <c r="DS4" s="81"/>
      <c r="DT4" s="78">
        <f t="shared" ref="DT4" si="21">DV5</f>
        <v>46120</v>
      </c>
      <c r="DU4" s="79"/>
      <c r="DV4" s="79"/>
      <c r="DW4" s="79"/>
      <c r="DX4" s="79"/>
      <c r="DY4" s="80">
        <f t="shared" ref="DY4" si="22">DY5</f>
        <v>46125</v>
      </c>
      <c r="DZ4" s="79"/>
      <c r="EA4" s="79"/>
      <c r="EB4" s="79"/>
      <c r="EC4" s="81"/>
      <c r="ED4" s="78">
        <f t="shared" ref="ED4" si="23">EF5</f>
        <v>46134</v>
      </c>
      <c r="EE4" s="79"/>
      <c r="EF4" s="79"/>
      <c r="EG4" s="79"/>
      <c r="EH4" s="79"/>
      <c r="EI4" s="80">
        <f t="shared" ref="EI4" si="24">EI5</f>
        <v>46139</v>
      </c>
      <c r="EJ4" s="79"/>
      <c r="EK4" s="79"/>
      <c r="EL4" s="79"/>
      <c r="EM4" s="81"/>
      <c r="EN4" s="78">
        <f t="shared" ref="EN4" si="25">EP5</f>
        <v>46148</v>
      </c>
      <c r="EO4" s="79"/>
      <c r="EP4" s="79"/>
      <c r="EQ4" s="79"/>
      <c r="ER4" s="79"/>
      <c r="ES4" s="80">
        <f t="shared" ref="ES4" si="26">ES5</f>
        <v>46153</v>
      </c>
      <c r="ET4" s="79"/>
      <c r="EU4" s="79"/>
      <c r="EV4" s="79"/>
      <c r="EW4" s="81"/>
      <c r="EX4" s="78">
        <f t="shared" ref="EX4" si="27">EZ5</f>
        <v>46162</v>
      </c>
      <c r="EY4" s="79"/>
      <c r="EZ4" s="79"/>
      <c r="FA4" s="79"/>
      <c r="FB4" s="79"/>
      <c r="FC4" s="80">
        <f t="shared" ref="FC4" si="28">FC5</f>
        <v>46167</v>
      </c>
      <c r="FD4" s="79"/>
      <c r="FE4" s="79"/>
      <c r="FF4" s="79"/>
      <c r="FG4" s="81"/>
      <c r="FH4" s="78">
        <f t="shared" ref="FH4" si="29">FJ5</f>
        <v>46176</v>
      </c>
      <c r="FI4" s="79"/>
      <c r="FJ4" s="79"/>
      <c r="FK4" s="79"/>
      <c r="FL4" s="79"/>
      <c r="FM4" s="80">
        <f t="shared" ref="FM4" si="30">FM5</f>
        <v>46181</v>
      </c>
      <c r="FN4" s="79"/>
      <c r="FO4" s="79"/>
      <c r="FP4" s="79"/>
      <c r="FQ4" s="81"/>
      <c r="FR4" s="78">
        <f t="shared" ref="FR4" si="31">FT5</f>
        <v>46190</v>
      </c>
      <c r="FS4" s="79"/>
      <c r="FT4" s="79"/>
      <c r="FU4" s="79"/>
      <c r="FV4" s="79"/>
      <c r="FW4" s="80">
        <f t="shared" ref="FW4" si="32">FW5</f>
        <v>46195</v>
      </c>
      <c r="FX4" s="79"/>
      <c r="FY4" s="79"/>
      <c r="FZ4" s="79"/>
      <c r="GA4" s="81"/>
      <c r="GB4" s="78">
        <f t="shared" ref="GB4" si="33">GD5</f>
        <v>46204</v>
      </c>
      <c r="GC4" s="79"/>
      <c r="GD4" s="79"/>
      <c r="GE4" s="79"/>
      <c r="GF4" s="79"/>
      <c r="GG4" s="80">
        <f t="shared" ref="GG4" si="34">GG5</f>
        <v>46209</v>
      </c>
      <c r="GH4" s="79"/>
      <c r="GI4" s="79"/>
      <c r="GJ4" s="79"/>
      <c r="GK4" s="81"/>
      <c r="GL4" s="78">
        <f t="shared" ref="GL4" si="35">GN5</f>
        <v>46218</v>
      </c>
      <c r="GM4" s="79"/>
      <c r="GN4" s="79"/>
      <c r="GO4" s="79"/>
      <c r="GP4" s="79"/>
      <c r="GQ4" s="80">
        <f t="shared" ref="GQ4" si="36">GQ5</f>
        <v>46223</v>
      </c>
      <c r="GR4" s="79"/>
      <c r="GS4" s="79"/>
      <c r="GT4" s="79"/>
      <c r="GU4" s="81"/>
      <c r="GV4" s="78">
        <f t="shared" ref="GV4" si="37">GX5</f>
        <v>46232</v>
      </c>
      <c r="GW4" s="79"/>
      <c r="GX4" s="79"/>
      <c r="GY4" s="79"/>
      <c r="GZ4" s="79"/>
      <c r="HA4" s="80">
        <f t="shared" ref="HA4" si="38">HA5</f>
        <v>46237</v>
      </c>
      <c r="HB4" s="79"/>
      <c r="HC4" s="79"/>
      <c r="HD4" s="79"/>
      <c r="HE4" s="81"/>
      <c r="HF4" s="78">
        <f t="shared" ref="HF4" si="39">HH5</f>
        <v>46246</v>
      </c>
      <c r="HG4" s="79"/>
      <c r="HH4" s="79"/>
      <c r="HI4" s="79"/>
      <c r="HJ4" s="79"/>
      <c r="HK4" s="80">
        <f t="shared" ref="HK4" si="40">HK5</f>
        <v>46251</v>
      </c>
      <c r="HL4" s="79"/>
      <c r="HM4" s="79"/>
      <c r="HN4" s="79"/>
      <c r="HO4" s="81"/>
      <c r="HP4" s="78">
        <f t="shared" ref="HP4" si="41">HR5</f>
        <v>46260</v>
      </c>
      <c r="HQ4" s="79"/>
      <c r="HR4" s="79"/>
      <c r="HS4" s="79"/>
      <c r="HT4" s="79"/>
      <c r="HU4" s="80">
        <f t="shared" ref="HU4" si="42">HU5</f>
        <v>46265</v>
      </c>
      <c r="HV4" s="79"/>
      <c r="HW4" s="79"/>
      <c r="HX4" s="79"/>
      <c r="HY4" s="81"/>
      <c r="HZ4" s="78">
        <f t="shared" ref="HZ4" si="43">IB5</f>
        <v>46274</v>
      </c>
      <c r="IA4" s="79"/>
      <c r="IB4" s="79"/>
      <c r="IC4" s="79"/>
      <c r="ID4" s="81"/>
      <c r="IE4" s="62"/>
      <c r="IF4" s="84"/>
      <c r="IG4" s="84"/>
      <c r="IH4" s="84"/>
      <c r="II4" s="84"/>
      <c r="IJ4" s="84"/>
      <c r="IK4" s="84"/>
      <c r="IL4" s="84"/>
      <c r="IM4" s="84"/>
      <c r="IN4" s="84"/>
      <c r="IO4" s="84"/>
      <c r="IP4" s="84"/>
      <c r="IQ4" s="84"/>
      <c r="IR4" s="84"/>
      <c r="IS4" s="84"/>
      <c r="IT4" s="84"/>
      <c r="IU4" s="84"/>
      <c r="IV4" s="84"/>
      <c r="IW4" s="84"/>
      <c r="IX4" s="84"/>
      <c r="IY4" s="84"/>
      <c r="IZ4" s="84"/>
      <c r="JA4" s="84"/>
      <c r="JB4" s="84"/>
      <c r="JC4" s="84"/>
      <c r="JD4" s="84"/>
      <c r="JE4" s="84"/>
      <c r="JF4" s="84"/>
      <c r="JG4" s="84"/>
      <c r="JH4" s="84"/>
      <c r="JI4" s="84"/>
      <c r="JJ4" s="84"/>
      <c r="JK4" s="84"/>
      <c r="JL4" s="84"/>
      <c r="JM4" s="84"/>
      <c r="JN4" s="84"/>
      <c r="JO4" s="84"/>
      <c r="JP4" s="84"/>
      <c r="JQ4" s="84"/>
      <c r="JR4" s="84"/>
      <c r="JS4" s="84"/>
      <c r="JT4" s="84"/>
      <c r="JU4" s="84"/>
      <c r="JV4" s="63"/>
      <c r="JW4" s="63"/>
    </row>
    <row r="5" spans="1:283" ht="15" customHeight="1" x14ac:dyDescent="0.3">
      <c r="A5" s="32" t="s">
        <v>4</v>
      </c>
      <c r="B5" s="40"/>
      <c r="C5" s="40"/>
      <c r="D5" s="40"/>
      <c r="E5" s="40"/>
      <c r="F5" s="40"/>
      <c r="G5" s="40"/>
      <c r="I5" s="58">
        <f>Project_Start-WEEKDAY(Project_Start,1)+2+7*(Display_Week-1)</f>
        <v>45957</v>
      </c>
      <c r="J5" s="59">
        <f>I5+1</f>
        <v>45958</v>
      </c>
      <c r="K5" s="59">
        <f t="shared" ref="K5:R5" si="44">J5+1</f>
        <v>45959</v>
      </c>
      <c r="L5" s="59">
        <f t="shared" si="44"/>
        <v>45960</v>
      </c>
      <c r="M5" s="67">
        <f t="shared" si="44"/>
        <v>45961</v>
      </c>
      <c r="N5" s="59">
        <f>M5+3</f>
        <v>45964</v>
      </c>
      <c r="O5" s="60">
        <f t="shared" si="44"/>
        <v>45965</v>
      </c>
      <c r="P5" s="58">
        <f>O5+1</f>
        <v>45966</v>
      </c>
      <c r="Q5" s="59">
        <f>P5+1</f>
        <v>45967</v>
      </c>
      <c r="R5" s="67">
        <f t="shared" si="44"/>
        <v>45968</v>
      </c>
      <c r="S5" s="59">
        <f t="shared" ref="S5:CA5" si="45">R5+3</f>
        <v>45971</v>
      </c>
      <c r="T5" s="59">
        <f t="shared" ref="T5:V5" si="46">S5+1</f>
        <v>45972</v>
      </c>
      <c r="U5" s="59">
        <f t="shared" si="46"/>
        <v>45973</v>
      </c>
      <c r="V5" s="59">
        <f t="shared" si="46"/>
        <v>45974</v>
      </c>
      <c r="W5" s="67">
        <f t="shared" ref="W5" si="47">V5+1</f>
        <v>45975</v>
      </c>
      <c r="X5" s="59">
        <f t="shared" si="45"/>
        <v>45978</v>
      </c>
      <c r="Y5" s="59">
        <f t="shared" ref="Y5" si="48">X5+1</f>
        <v>45979</v>
      </c>
      <c r="Z5" s="59">
        <f t="shared" ref="Z5" si="49">Y5+1</f>
        <v>45980</v>
      </c>
      <c r="AA5" s="59">
        <f t="shared" ref="AA5" si="50">Z5+1</f>
        <v>45981</v>
      </c>
      <c r="AB5" s="67">
        <f t="shared" ref="AB5" si="51">AA5+1</f>
        <v>45982</v>
      </c>
      <c r="AC5" s="59">
        <f t="shared" si="45"/>
        <v>45985</v>
      </c>
      <c r="AD5" s="59">
        <f t="shared" ref="AD5" si="52">AC5+1</f>
        <v>45986</v>
      </c>
      <c r="AE5" s="59">
        <f t="shared" ref="AE5" si="53">AD5+1</f>
        <v>45987</v>
      </c>
      <c r="AF5" s="59">
        <f t="shared" ref="AF5" si="54">AE5+1</f>
        <v>45988</v>
      </c>
      <c r="AG5" s="67">
        <f t="shared" ref="AG5" si="55">AF5+1</f>
        <v>45989</v>
      </c>
      <c r="AH5" s="59">
        <f t="shared" si="45"/>
        <v>45992</v>
      </c>
      <c r="AI5" s="59">
        <f t="shared" ref="AI5" si="56">AH5+1</f>
        <v>45993</v>
      </c>
      <c r="AJ5" s="59">
        <f t="shared" ref="AJ5" si="57">AI5+1</f>
        <v>45994</v>
      </c>
      <c r="AK5" s="59">
        <f t="shared" ref="AK5" si="58">AJ5+1</f>
        <v>45995</v>
      </c>
      <c r="AL5" s="67">
        <f t="shared" ref="AL5" si="59">AK5+1</f>
        <v>45996</v>
      </c>
      <c r="AM5" s="59">
        <f t="shared" si="45"/>
        <v>45999</v>
      </c>
      <c r="AN5" s="59">
        <f t="shared" ref="AN5" si="60">AM5+1</f>
        <v>46000</v>
      </c>
      <c r="AO5" s="59">
        <f t="shared" ref="AO5" si="61">AN5+1</f>
        <v>46001</v>
      </c>
      <c r="AP5" s="59">
        <f t="shared" ref="AP5" si="62">AO5+1</f>
        <v>46002</v>
      </c>
      <c r="AQ5" s="67">
        <f t="shared" ref="AQ5" si="63">AP5+1</f>
        <v>46003</v>
      </c>
      <c r="AR5" s="59">
        <f t="shared" si="45"/>
        <v>46006</v>
      </c>
      <c r="AS5" s="59">
        <f t="shared" ref="AS5" si="64">AR5+1</f>
        <v>46007</v>
      </c>
      <c r="AT5" s="59">
        <f t="shared" ref="AT5" si="65">AS5+1</f>
        <v>46008</v>
      </c>
      <c r="AU5" s="59">
        <f t="shared" ref="AU5" si="66">AT5+1</f>
        <v>46009</v>
      </c>
      <c r="AV5" s="67">
        <f t="shared" ref="AV5" si="67">AU5+1</f>
        <v>46010</v>
      </c>
      <c r="AW5" s="59">
        <f t="shared" si="45"/>
        <v>46013</v>
      </c>
      <c r="AX5" s="59">
        <f t="shared" ref="AX5" si="68">AW5+1</f>
        <v>46014</v>
      </c>
      <c r="AY5" s="59">
        <f t="shared" ref="AY5" si="69">AX5+1</f>
        <v>46015</v>
      </c>
      <c r="AZ5" s="59">
        <f t="shared" ref="AZ5" si="70">AY5+1</f>
        <v>46016</v>
      </c>
      <c r="BA5" s="67">
        <f t="shared" ref="BA5" si="71">AZ5+1</f>
        <v>46017</v>
      </c>
      <c r="BB5" s="59">
        <f t="shared" si="45"/>
        <v>46020</v>
      </c>
      <c r="BC5" s="59">
        <f t="shared" ref="BC5" si="72">BB5+1</f>
        <v>46021</v>
      </c>
      <c r="BD5" s="59">
        <f t="shared" ref="BD5" si="73">BC5+1</f>
        <v>46022</v>
      </c>
      <c r="BE5" s="59">
        <f t="shared" ref="BE5" si="74">BD5+1</f>
        <v>46023</v>
      </c>
      <c r="BF5" s="67">
        <f t="shared" ref="BF5" si="75">BE5+1</f>
        <v>46024</v>
      </c>
      <c r="BG5" s="59">
        <f t="shared" si="45"/>
        <v>46027</v>
      </c>
      <c r="BH5" s="59">
        <f t="shared" ref="BH5" si="76">BG5+1</f>
        <v>46028</v>
      </c>
      <c r="BI5" s="59">
        <f t="shared" ref="BI5" si="77">BH5+1</f>
        <v>46029</v>
      </c>
      <c r="BJ5" s="59">
        <f t="shared" ref="BJ5" si="78">BI5+1</f>
        <v>46030</v>
      </c>
      <c r="BK5" s="67">
        <f t="shared" ref="BK5" si="79">BJ5+1</f>
        <v>46031</v>
      </c>
      <c r="BL5" s="59">
        <f t="shared" si="45"/>
        <v>46034</v>
      </c>
      <c r="BM5" s="59">
        <f t="shared" ref="BM5" si="80">BL5+1</f>
        <v>46035</v>
      </c>
      <c r="BN5" s="59">
        <f t="shared" ref="BN5" si="81">BM5+1</f>
        <v>46036</v>
      </c>
      <c r="BO5" s="59">
        <f t="shared" ref="BO5" si="82">BN5+1</f>
        <v>46037</v>
      </c>
      <c r="BP5" s="67">
        <f t="shared" ref="BP5" si="83">BO5+1</f>
        <v>46038</v>
      </c>
      <c r="BQ5" s="59">
        <f t="shared" si="45"/>
        <v>46041</v>
      </c>
      <c r="BR5" s="59">
        <f t="shared" ref="BR5" si="84">BQ5+1</f>
        <v>46042</v>
      </c>
      <c r="BS5" s="59">
        <f t="shared" ref="BS5" si="85">BR5+1</f>
        <v>46043</v>
      </c>
      <c r="BT5" s="59">
        <f t="shared" ref="BT5" si="86">BS5+1</f>
        <v>46044</v>
      </c>
      <c r="BU5" s="67">
        <f t="shared" ref="BU5" si="87">BT5+1</f>
        <v>46045</v>
      </c>
      <c r="BV5" s="59">
        <f t="shared" si="45"/>
        <v>46048</v>
      </c>
      <c r="BW5" s="59">
        <f t="shared" ref="BW5" si="88">BV5+1</f>
        <v>46049</v>
      </c>
      <c r="BX5" s="59">
        <f t="shared" ref="BX5" si="89">BW5+1</f>
        <v>46050</v>
      </c>
      <c r="BY5" s="59">
        <f t="shared" ref="BY5" si="90">BX5+1</f>
        <v>46051</v>
      </c>
      <c r="BZ5" s="67">
        <f t="shared" ref="BZ5" si="91">BY5+1</f>
        <v>46052</v>
      </c>
      <c r="CA5" s="59">
        <f t="shared" si="45"/>
        <v>46055</v>
      </c>
      <c r="CB5" s="59">
        <f t="shared" ref="CB5" si="92">CA5+1</f>
        <v>46056</v>
      </c>
      <c r="CC5" s="59">
        <f t="shared" ref="CC5" si="93">CB5+1</f>
        <v>46057</v>
      </c>
      <c r="CD5" s="59">
        <f t="shared" ref="CD5" si="94">CC5+1</f>
        <v>46058</v>
      </c>
      <c r="CE5" s="67">
        <f t="shared" ref="CE5" si="95">CD5+1</f>
        <v>46059</v>
      </c>
      <c r="CF5" s="59">
        <f t="shared" ref="CF5:EN5" si="96">CE5+3</f>
        <v>46062</v>
      </c>
      <c r="CG5" s="59">
        <f t="shared" ref="CG5" si="97">CF5+1</f>
        <v>46063</v>
      </c>
      <c r="CH5" s="59">
        <f t="shared" ref="CH5" si="98">CG5+1</f>
        <v>46064</v>
      </c>
      <c r="CI5" s="59">
        <f t="shared" ref="CI5" si="99">CH5+1</f>
        <v>46065</v>
      </c>
      <c r="CJ5" s="67">
        <f t="shared" ref="CJ5" si="100">CI5+1</f>
        <v>46066</v>
      </c>
      <c r="CK5" s="59">
        <f t="shared" si="96"/>
        <v>46069</v>
      </c>
      <c r="CL5" s="59">
        <f t="shared" ref="CL5" si="101">CK5+1</f>
        <v>46070</v>
      </c>
      <c r="CM5" s="59">
        <f t="shared" ref="CM5" si="102">CL5+1</f>
        <v>46071</v>
      </c>
      <c r="CN5" s="59">
        <f t="shared" ref="CN5" si="103">CM5+1</f>
        <v>46072</v>
      </c>
      <c r="CO5" s="67">
        <f t="shared" ref="CO5" si="104">CN5+1</f>
        <v>46073</v>
      </c>
      <c r="CP5" s="59">
        <f t="shared" si="96"/>
        <v>46076</v>
      </c>
      <c r="CQ5" s="59">
        <f t="shared" ref="CQ5" si="105">CP5+1</f>
        <v>46077</v>
      </c>
      <c r="CR5" s="59">
        <f t="shared" ref="CR5" si="106">CQ5+1</f>
        <v>46078</v>
      </c>
      <c r="CS5" s="59">
        <f t="shared" ref="CS5" si="107">CR5+1</f>
        <v>46079</v>
      </c>
      <c r="CT5" s="67">
        <f t="shared" ref="CT5" si="108">CS5+1</f>
        <v>46080</v>
      </c>
      <c r="CU5" s="59">
        <f t="shared" si="96"/>
        <v>46083</v>
      </c>
      <c r="CV5" s="59">
        <f t="shared" ref="CV5" si="109">CU5+1</f>
        <v>46084</v>
      </c>
      <c r="CW5" s="59">
        <f t="shared" ref="CW5" si="110">CV5+1</f>
        <v>46085</v>
      </c>
      <c r="CX5" s="59">
        <f t="shared" ref="CX5" si="111">CW5+1</f>
        <v>46086</v>
      </c>
      <c r="CY5" s="67">
        <f t="shared" ref="CY5" si="112">CX5+1</f>
        <v>46087</v>
      </c>
      <c r="CZ5" s="59">
        <f t="shared" si="96"/>
        <v>46090</v>
      </c>
      <c r="DA5" s="59">
        <f t="shared" ref="DA5" si="113">CZ5+1</f>
        <v>46091</v>
      </c>
      <c r="DB5" s="59">
        <f t="shared" ref="DB5" si="114">DA5+1</f>
        <v>46092</v>
      </c>
      <c r="DC5" s="59">
        <f t="shared" ref="DC5" si="115">DB5+1</f>
        <v>46093</v>
      </c>
      <c r="DD5" s="67">
        <f t="shared" ref="DD5" si="116">DC5+1</f>
        <v>46094</v>
      </c>
      <c r="DE5" s="59">
        <f t="shared" si="96"/>
        <v>46097</v>
      </c>
      <c r="DF5" s="59">
        <f t="shared" ref="DF5" si="117">DE5+1</f>
        <v>46098</v>
      </c>
      <c r="DG5" s="59">
        <f t="shared" ref="DG5" si="118">DF5+1</f>
        <v>46099</v>
      </c>
      <c r="DH5" s="59">
        <f t="shared" ref="DH5" si="119">DG5+1</f>
        <v>46100</v>
      </c>
      <c r="DI5" s="67">
        <f t="shared" ref="DI5" si="120">DH5+1</f>
        <v>46101</v>
      </c>
      <c r="DJ5" s="59">
        <f t="shared" si="96"/>
        <v>46104</v>
      </c>
      <c r="DK5" s="59">
        <f t="shared" ref="DK5" si="121">DJ5+1</f>
        <v>46105</v>
      </c>
      <c r="DL5" s="59">
        <f t="shared" ref="DL5" si="122">DK5+1</f>
        <v>46106</v>
      </c>
      <c r="DM5" s="59">
        <f t="shared" ref="DM5" si="123">DL5+1</f>
        <v>46107</v>
      </c>
      <c r="DN5" s="67">
        <f t="shared" ref="DN5" si="124">DM5+1</f>
        <v>46108</v>
      </c>
      <c r="DO5" s="59">
        <f t="shared" si="96"/>
        <v>46111</v>
      </c>
      <c r="DP5" s="59">
        <f t="shared" ref="DP5" si="125">DO5+1</f>
        <v>46112</v>
      </c>
      <c r="DQ5" s="59">
        <f t="shared" ref="DQ5" si="126">DP5+1</f>
        <v>46113</v>
      </c>
      <c r="DR5" s="59">
        <f t="shared" ref="DR5" si="127">DQ5+1</f>
        <v>46114</v>
      </c>
      <c r="DS5" s="67">
        <f t="shared" ref="DS5" si="128">DR5+1</f>
        <v>46115</v>
      </c>
      <c r="DT5" s="59">
        <f t="shared" si="96"/>
        <v>46118</v>
      </c>
      <c r="DU5" s="59">
        <f t="shared" ref="DU5" si="129">DT5+1</f>
        <v>46119</v>
      </c>
      <c r="DV5" s="59">
        <f t="shared" ref="DV5" si="130">DU5+1</f>
        <v>46120</v>
      </c>
      <c r="DW5" s="59">
        <f t="shared" ref="DW5" si="131">DV5+1</f>
        <v>46121</v>
      </c>
      <c r="DX5" s="67">
        <f t="shared" ref="DX5" si="132">DW5+1</f>
        <v>46122</v>
      </c>
      <c r="DY5" s="59">
        <f t="shared" si="96"/>
        <v>46125</v>
      </c>
      <c r="DZ5" s="59">
        <f t="shared" ref="DZ5" si="133">DY5+1</f>
        <v>46126</v>
      </c>
      <c r="EA5" s="59">
        <f t="shared" ref="EA5" si="134">DZ5+1</f>
        <v>46127</v>
      </c>
      <c r="EB5" s="59">
        <f t="shared" ref="EB5" si="135">EA5+1</f>
        <v>46128</v>
      </c>
      <c r="EC5" s="67">
        <f t="shared" ref="EC5" si="136">EB5+1</f>
        <v>46129</v>
      </c>
      <c r="ED5" s="59">
        <f t="shared" si="96"/>
        <v>46132</v>
      </c>
      <c r="EE5" s="59">
        <f t="shared" ref="EE5" si="137">ED5+1</f>
        <v>46133</v>
      </c>
      <c r="EF5" s="59">
        <f t="shared" ref="EF5" si="138">EE5+1</f>
        <v>46134</v>
      </c>
      <c r="EG5" s="59">
        <f t="shared" ref="EG5" si="139">EF5+1</f>
        <v>46135</v>
      </c>
      <c r="EH5" s="67">
        <f t="shared" ref="EH5" si="140">EG5+1</f>
        <v>46136</v>
      </c>
      <c r="EI5" s="59">
        <f t="shared" si="96"/>
        <v>46139</v>
      </c>
      <c r="EJ5" s="59">
        <f t="shared" ref="EJ5" si="141">EI5+1</f>
        <v>46140</v>
      </c>
      <c r="EK5" s="59">
        <f t="shared" ref="EK5" si="142">EJ5+1</f>
        <v>46141</v>
      </c>
      <c r="EL5" s="59">
        <f t="shared" ref="EL5" si="143">EK5+1</f>
        <v>46142</v>
      </c>
      <c r="EM5" s="67">
        <f t="shared" ref="EM5" si="144">EL5+1</f>
        <v>46143</v>
      </c>
      <c r="EN5" s="59">
        <f t="shared" si="96"/>
        <v>46146</v>
      </c>
      <c r="EO5" s="59">
        <f t="shared" ref="EO5" si="145">EN5+1</f>
        <v>46147</v>
      </c>
      <c r="EP5" s="59">
        <f t="shared" ref="EP5" si="146">EO5+1</f>
        <v>46148</v>
      </c>
      <c r="EQ5" s="59">
        <f t="shared" ref="EQ5" si="147">EP5+1</f>
        <v>46149</v>
      </c>
      <c r="ER5" s="67">
        <f t="shared" ref="ER5" si="148">EQ5+1</f>
        <v>46150</v>
      </c>
      <c r="ES5" s="59">
        <f t="shared" ref="ES5:HA5" si="149">ER5+3</f>
        <v>46153</v>
      </c>
      <c r="ET5" s="59">
        <f t="shared" ref="ET5" si="150">ES5+1</f>
        <v>46154</v>
      </c>
      <c r="EU5" s="59">
        <f t="shared" ref="EU5" si="151">ET5+1</f>
        <v>46155</v>
      </c>
      <c r="EV5" s="59">
        <f t="shared" ref="EV5" si="152">EU5+1</f>
        <v>46156</v>
      </c>
      <c r="EW5" s="67">
        <f t="shared" ref="EW5" si="153">EV5+1</f>
        <v>46157</v>
      </c>
      <c r="EX5" s="59">
        <f t="shared" si="149"/>
        <v>46160</v>
      </c>
      <c r="EY5" s="59">
        <f t="shared" ref="EY5" si="154">EX5+1</f>
        <v>46161</v>
      </c>
      <c r="EZ5" s="59">
        <f t="shared" ref="EZ5" si="155">EY5+1</f>
        <v>46162</v>
      </c>
      <c r="FA5" s="59">
        <f t="shared" ref="FA5" si="156">EZ5+1</f>
        <v>46163</v>
      </c>
      <c r="FB5" s="67">
        <f t="shared" ref="FB5" si="157">FA5+1</f>
        <v>46164</v>
      </c>
      <c r="FC5" s="59">
        <f t="shared" si="149"/>
        <v>46167</v>
      </c>
      <c r="FD5" s="59">
        <f t="shared" ref="FD5" si="158">FC5+1</f>
        <v>46168</v>
      </c>
      <c r="FE5" s="59">
        <f t="shared" ref="FE5" si="159">FD5+1</f>
        <v>46169</v>
      </c>
      <c r="FF5" s="59">
        <f t="shared" ref="FF5" si="160">FE5+1</f>
        <v>46170</v>
      </c>
      <c r="FG5" s="67">
        <f t="shared" ref="FG5" si="161">FF5+1</f>
        <v>46171</v>
      </c>
      <c r="FH5" s="59">
        <f t="shared" si="149"/>
        <v>46174</v>
      </c>
      <c r="FI5" s="59">
        <f t="shared" ref="FI5" si="162">FH5+1</f>
        <v>46175</v>
      </c>
      <c r="FJ5" s="59">
        <f t="shared" ref="FJ5" si="163">FI5+1</f>
        <v>46176</v>
      </c>
      <c r="FK5" s="59">
        <f t="shared" ref="FK5" si="164">FJ5+1</f>
        <v>46177</v>
      </c>
      <c r="FL5" s="67">
        <f t="shared" ref="FL5" si="165">FK5+1</f>
        <v>46178</v>
      </c>
      <c r="FM5" s="59">
        <f t="shared" si="149"/>
        <v>46181</v>
      </c>
      <c r="FN5" s="59">
        <f t="shared" ref="FN5" si="166">FM5+1</f>
        <v>46182</v>
      </c>
      <c r="FO5" s="59">
        <f t="shared" ref="FO5" si="167">FN5+1</f>
        <v>46183</v>
      </c>
      <c r="FP5" s="59">
        <f t="shared" ref="FP5" si="168">FO5+1</f>
        <v>46184</v>
      </c>
      <c r="FQ5" s="67">
        <f t="shared" ref="FQ5" si="169">FP5+1</f>
        <v>46185</v>
      </c>
      <c r="FR5" s="59">
        <f t="shared" si="149"/>
        <v>46188</v>
      </c>
      <c r="FS5" s="59">
        <f t="shared" ref="FS5" si="170">FR5+1</f>
        <v>46189</v>
      </c>
      <c r="FT5" s="59">
        <f t="shared" ref="FT5" si="171">FS5+1</f>
        <v>46190</v>
      </c>
      <c r="FU5" s="59">
        <f t="shared" ref="FU5" si="172">FT5+1</f>
        <v>46191</v>
      </c>
      <c r="FV5" s="67">
        <f t="shared" ref="FV5" si="173">FU5+1</f>
        <v>46192</v>
      </c>
      <c r="FW5" s="59">
        <f t="shared" si="149"/>
        <v>46195</v>
      </c>
      <c r="FX5" s="59">
        <f t="shared" ref="FX5" si="174">FW5+1</f>
        <v>46196</v>
      </c>
      <c r="FY5" s="59">
        <f t="shared" ref="FY5" si="175">FX5+1</f>
        <v>46197</v>
      </c>
      <c r="FZ5" s="59">
        <f t="shared" ref="FZ5" si="176">FY5+1</f>
        <v>46198</v>
      </c>
      <c r="GA5" s="67">
        <f t="shared" ref="GA5" si="177">FZ5+1</f>
        <v>46199</v>
      </c>
      <c r="GB5" s="59">
        <f t="shared" si="149"/>
        <v>46202</v>
      </c>
      <c r="GC5" s="59">
        <f t="shared" ref="GC5" si="178">GB5+1</f>
        <v>46203</v>
      </c>
      <c r="GD5" s="59">
        <f t="shared" ref="GD5" si="179">GC5+1</f>
        <v>46204</v>
      </c>
      <c r="GE5" s="59">
        <f t="shared" ref="GE5" si="180">GD5+1</f>
        <v>46205</v>
      </c>
      <c r="GF5" s="67">
        <f t="shared" ref="GF5" si="181">GE5+1</f>
        <v>46206</v>
      </c>
      <c r="GG5" s="59">
        <f t="shared" si="149"/>
        <v>46209</v>
      </c>
      <c r="GH5" s="59">
        <f t="shared" ref="GH5" si="182">GG5+1</f>
        <v>46210</v>
      </c>
      <c r="GI5" s="59">
        <f t="shared" ref="GI5" si="183">GH5+1</f>
        <v>46211</v>
      </c>
      <c r="GJ5" s="59">
        <f t="shared" ref="GJ5" si="184">GI5+1</f>
        <v>46212</v>
      </c>
      <c r="GK5" s="67">
        <f t="shared" ref="GK5" si="185">GJ5+1</f>
        <v>46213</v>
      </c>
      <c r="GL5" s="59">
        <f t="shared" si="149"/>
        <v>46216</v>
      </c>
      <c r="GM5" s="59">
        <f t="shared" ref="GM5" si="186">GL5+1</f>
        <v>46217</v>
      </c>
      <c r="GN5" s="59">
        <f t="shared" ref="GN5" si="187">GM5+1</f>
        <v>46218</v>
      </c>
      <c r="GO5" s="59">
        <f t="shared" ref="GO5" si="188">GN5+1</f>
        <v>46219</v>
      </c>
      <c r="GP5" s="67">
        <f t="shared" ref="GP5" si="189">GO5+1</f>
        <v>46220</v>
      </c>
      <c r="GQ5" s="59">
        <f t="shared" si="149"/>
        <v>46223</v>
      </c>
      <c r="GR5" s="59">
        <f t="shared" ref="GR5" si="190">GQ5+1</f>
        <v>46224</v>
      </c>
      <c r="GS5" s="59">
        <f t="shared" ref="GS5" si="191">GR5+1</f>
        <v>46225</v>
      </c>
      <c r="GT5" s="59">
        <f t="shared" ref="GT5" si="192">GS5+1</f>
        <v>46226</v>
      </c>
      <c r="GU5" s="67">
        <f t="shared" ref="GU5" si="193">GT5+1</f>
        <v>46227</v>
      </c>
      <c r="GV5" s="59">
        <f t="shared" si="149"/>
        <v>46230</v>
      </c>
      <c r="GW5" s="59">
        <f t="shared" ref="GW5" si="194">GV5+1</f>
        <v>46231</v>
      </c>
      <c r="GX5" s="59">
        <f t="shared" ref="GX5" si="195">GW5+1</f>
        <v>46232</v>
      </c>
      <c r="GY5" s="59">
        <f t="shared" ref="GY5" si="196">GX5+1</f>
        <v>46233</v>
      </c>
      <c r="GZ5" s="67">
        <f t="shared" ref="GZ5" si="197">GY5+1</f>
        <v>46234</v>
      </c>
      <c r="HA5" s="59">
        <f t="shared" si="149"/>
        <v>46237</v>
      </c>
      <c r="HB5" s="59">
        <f t="shared" ref="HB5" si="198">HA5+1</f>
        <v>46238</v>
      </c>
      <c r="HC5" s="59">
        <f t="shared" ref="HC5" si="199">HB5+1</f>
        <v>46239</v>
      </c>
      <c r="HD5" s="59">
        <f t="shared" ref="HD5" si="200">HC5+1</f>
        <v>46240</v>
      </c>
      <c r="HE5" s="67">
        <f t="shared" ref="HE5" si="201">HD5+1</f>
        <v>46241</v>
      </c>
      <c r="HF5" s="59">
        <f t="shared" ref="HF5:HZ5" si="202">HE5+3</f>
        <v>46244</v>
      </c>
      <c r="HG5" s="59">
        <f t="shared" ref="HG5" si="203">HF5+1</f>
        <v>46245</v>
      </c>
      <c r="HH5" s="59">
        <f t="shared" ref="HH5" si="204">HG5+1</f>
        <v>46246</v>
      </c>
      <c r="HI5" s="59">
        <f t="shared" ref="HI5" si="205">HH5+1</f>
        <v>46247</v>
      </c>
      <c r="HJ5" s="67">
        <f t="shared" ref="HJ5" si="206">HI5+1</f>
        <v>46248</v>
      </c>
      <c r="HK5" s="59">
        <f t="shared" si="202"/>
        <v>46251</v>
      </c>
      <c r="HL5" s="59">
        <f t="shared" ref="HL5" si="207">HK5+1</f>
        <v>46252</v>
      </c>
      <c r="HM5" s="59">
        <f t="shared" ref="HM5" si="208">HL5+1</f>
        <v>46253</v>
      </c>
      <c r="HN5" s="59">
        <f t="shared" ref="HN5" si="209">HM5+1</f>
        <v>46254</v>
      </c>
      <c r="HO5" s="67">
        <f t="shared" ref="HO5" si="210">HN5+1</f>
        <v>46255</v>
      </c>
      <c r="HP5" s="59">
        <f t="shared" si="202"/>
        <v>46258</v>
      </c>
      <c r="HQ5" s="59">
        <f t="shared" ref="HQ5" si="211">HP5+1</f>
        <v>46259</v>
      </c>
      <c r="HR5" s="59">
        <f t="shared" ref="HR5" si="212">HQ5+1</f>
        <v>46260</v>
      </c>
      <c r="HS5" s="59">
        <f t="shared" ref="HS5" si="213">HR5+1</f>
        <v>46261</v>
      </c>
      <c r="HT5" s="67">
        <f t="shared" ref="HT5" si="214">HS5+1</f>
        <v>46262</v>
      </c>
      <c r="HU5" s="59">
        <f t="shared" si="202"/>
        <v>46265</v>
      </c>
      <c r="HV5" s="59">
        <f t="shared" ref="HV5" si="215">HU5+1</f>
        <v>46266</v>
      </c>
      <c r="HW5" s="59">
        <f t="shared" ref="HW5" si="216">HV5+1</f>
        <v>46267</v>
      </c>
      <c r="HX5" s="59">
        <f t="shared" ref="HX5" si="217">HW5+1</f>
        <v>46268</v>
      </c>
      <c r="HY5" s="67">
        <f t="shared" ref="HY5" si="218">HX5+1</f>
        <v>46269</v>
      </c>
      <c r="HZ5" s="59">
        <f t="shared" si="202"/>
        <v>46272</v>
      </c>
      <c r="IA5" s="59">
        <f t="shared" ref="IA5" si="219">HZ5+1</f>
        <v>46273</v>
      </c>
      <c r="IB5" s="59">
        <f t="shared" ref="IB5" si="220">IA5+1</f>
        <v>46274</v>
      </c>
      <c r="IC5" s="59">
        <f t="shared" ref="IC5" si="221">IB5+1</f>
        <v>46275</v>
      </c>
      <c r="ID5" s="67">
        <f t="shared" ref="ID5" si="222">IC5+1</f>
        <v>46276</v>
      </c>
      <c r="IE5" s="59"/>
      <c r="IF5" s="64"/>
      <c r="IG5" s="64"/>
      <c r="IH5" s="64"/>
      <c r="II5" s="64"/>
      <c r="IJ5" s="64"/>
      <c r="IK5" s="64"/>
      <c r="IL5" s="64"/>
      <c r="IM5" s="64"/>
      <c r="IN5" s="64"/>
      <c r="IO5" s="64"/>
      <c r="IP5" s="64"/>
      <c r="IQ5" s="64"/>
      <c r="IR5" s="64"/>
      <c r="IS5" s="64"/>
      <c r="IT5" s="64"/>
      <c r="IU5" s="64"/>
      <c r="IV5" s="64"/>
      <c r="IW5" s="64"/>
      <c r="IX5" s="64"/>
      <c r="IY5" s="64"/>
      <c r="IZ5" s="64"/>
      <c r="JA5" s="64"/>
      <c r="JB5" s="64"/>
      <c r="JC5" s="64"/>
      <c r="JD5" s="64"/>
      <c r="JE5" s="64"/>
      <c r="JF5" s="64"/>
      <c r="JG5" s="64"/>
      <c r="JH5" s="64"/>
      <c r="JI5" s="64"/>
      <c r="JJ5" s="64"/>
      <c r="JK5" s="64"/>
      <c r="JL5" s="64"/>
      <c r="JM5" s="64"/>
      <c r="JN5" s="64"/>
      <c r="JO5" s="64"/>
      <c r="JP5" s="64"/>
      <c r="JQ5" s="64"/>
      <c r="JR5" s="64"/>
      <c r="JS5" s="64"/>
      <c r="JT5" s="64"/>
      <c r="JU5" s="64"/>
      <c r="JV5" s="64"/>
      <c r="JW5" s="64"/>
    </row>
    <row r="6" spans="1:283" ht="30" customHeight="1" thickBot="1" x14ac:dyDescent="0.35">
      <c r="A6" s="32" t="s">
        <v>5</v>
      </c>
      <c r="B6" s="8" t="s">
        <v>14</v>
      </c>
      <c r="C6" s="9"/>
      <c r="D6" s="9" t="s">
        <v>18</v>
      </c>
      <c r="E6" s="9" t="s">
        <v>19</v>
      </c>
      <c r="F6" s="9" t="s">
        <v>20</v>
      </c>
      <c r="G6" s="9"/>
      <c r="H6" s="9" t="s">
        <v>21</v>
      </c>
      <c r="I6" s="10" t="str">
        <f t="shared" ref="I6" si="223">LEFT(TEXT(I5,"ddd"),1)</f>
        <v>M</v>
      </c>
      <c r="J6" s="10" t="str">
        <f t="shared" ref="J6:AR6" si="224">LEFT(TEXT(J5,"ddd"),1)</f>
        <v>T</v>
      </c>
      <c r="K6" s="10" t="str">
        <f t="shared" si="224"/>
        <v>W</v>
      </c>
      <c r="L6" s="10" t="str">
        <f t="shared" si="224"/>
        <v>T</v>
      </c>
      <c r="M6" s="10" t="str">
        <f t="shared" si="224"/>
        <v>F</v>
      </c>
      <c r="N6" s="10" t="str">
        <f t="shared" si="224"/>
        <v>M</v>
      </c>
      <c r="O6" s="10" t="str">
        <f t="shared" si="224"/>
        <v>T</v>
      </c>
      <c r="P6" s="10" t="str">
        <f t="shared" si="224"/>
        <v>W</v>
      </c>
      <c r="Q6" s="10" t="str">
        <f t="shared" si="224"/>
        <v>T</v>
      </c>
      <c r="R6" s="10" t="str">
        <f t="shared" si="224"/>
        <v>F</v>
      </c>
      <c r="S6" s="10" t="str">
        <f t="shared" si="224"/>
        <v>M</v>
      </c>
      <c r="T6" s="10" t="str">
        <f t="shared" si="224"/>
        <v>T</v>
      </c>
      <c r="U6" s="10" t="str">
        <f t="shared" si="224"/>
        <v>W</v>
      </c>
      <c r="V6" s="10" t="str">
        <f t="shared" si="224"/>
        <v>T</v>
      </c>
      <c r="W6" s="10" t="str">
        <f t="shared" si="224"/>
        <v>F</v>
      </c>
      <c r="X6" s="10" t="str">
        <f t="shared" si="224"/>
        <v>M</v>
      </c>
      <c r="Y6" s="10" t="str">
        <f t="shared" si="224"/>
        <v>T</v>
      </c>
      <c r="Z6" s="10" t="str">
        <f t="shared" si="224"/>
        <v>W</v>
      </c>
      <c r="AA6" s="10" t="str">
        <f t="shared" si="224"/>
        <v>T</v>
      </c>
      <c r="AB6" s="10" t="str">
        <f t="shared" si="224"/>
        <v>F</v>
      </c>
      <c r="AC6" s="10" t="str">
        <f t="shared" si="224"/>
        <v>M</v>
      </c>
      <c r="AD6" s="10" t="str">
        <f t="shared" si="224"/>
        <v>T</v>
      </c>
      <c r="AE6" s="10" t="str">
        <f t="shared" si="224"/>
        <v>W</v>
      </c>
      <c r="AF6" s="10" t="str">
        <f t="shared" si="224"/>
        <v>T</v>
      </c>
      <c r="AG6" s="10" t="str">
        <f t="shared" si="224"/>
        <v>F</v>
      </c>
      <c r="AH6" s="10" t="str">
        <f t="shared" si="224"/>
        <v>M</v>
      </c>
      <c r="AI6" s="10" t="str">
        <f t="shared" si="224"/>
        <v>T</v>
      </c>
      <c r="AJ6" s="10" t="str">
        <f t="shared" si="224"/>
        <v>W</v>
      </c>
      <c r="AK6" s="10" t="str">
        <f t="shared" si="224"/>
        <v>T</v>
      </c>
      <c r="AL6" s="10" t="str">
        <f t="shared" si="224"/>
        <v>F</v>
      </c>
      <c r="AM6" s="10" t="str">
        <f t="shared" si="224"/>
        <v>M</v>
      </c>
      <c r="AN6" s="10" t="str">
        <f t="shared" si="224"/>
        <v>T</v>
      </c>
      <c r="AO6" s="10" t="str">
        <f t="shared" si="224"/>
        <v>W</v>
      </c>
      <c r="AP6" s="10" t="str">
        <f t="shared" si="224"/>
        <v>T</v>
      </c>
      <c r="AQ6" s="10" t="str">
        <f t="shared" si="224"/>
        <v>F</v>
      </c>
      <c r="AR6" s="10" t="str">
        <f t="shared" si="224"/>
        <v>M</v>
      </c>
      <c r="AS6" s="10" t="str">
        <f t="shared" ref="AS6:DD6" si="225">LEFT(TEXT(AS5,"ddd"),1)</f>
        <v>T</v>
      </c>
      <c r="AT6" s="10" t="str">
        <f t="shared" si="225"/>
        <v>W</v>
      </c>
      <c r="AU6" s="10" t="str">
        <f t="shared" si="225"/>
        <v>T</v>
      </c>
      <c r="AV6" s="10" t="str">
        <f t="shared" si="225"/>
        <v>F</v>
      </c>
      <c r="AW6" s="10" t="str">
        <f t="shared" si="225"/>
        <v>M</v>
      </c>
      <c r="AX6" s="10" t="str">
        <f t="shared" si="225"/>
        <v>T</v>
      </c>
      <c r="AY6" s="10" t="str">
        <f t="shared" si="225"/>
        <v>W</v>
      </c>
      <c r="AZ6" s="10" t="str">
        <f t="shared" si="225"/>
        <v>T</v>
      </c>
      <c r="BA6" s="10" t="str">
        <f t="shared" si="225"/>
        <v>F</v>
      </c>
      <c r="BB6" s="10" t="str">
        <f t="shared" si="225"/>
        <v>M</v>
      </c>
      <c r="BC6" s="10" t="str">
        <f t="shared" si="225"/>
        <v>T</v>
      </c>
      <c r="BD6" s="10" t="str">
        <f t="shared" si="225"/>
        <v>W</v>
      </c>
      <c r="BE6" s="10" t="str">
        <f t="shared" si="225"/>
        <v>T</v>
      </c>
      <c r="BF6" s="10" t="str">
        <f t="shared" si="225"/>
        <v>F</v>
      </c>
      <c r="BG6" s="10" t="str">
        <f t="shared" si="225"/>
        <v>M</v>
      </c>
      <c r="BH6" s="10" t="str">
        <f t="shared" si="225"/>
        <v>T</v>
      </c>
      <c r="BI6" s="10" t="str">
        <f t="shared" si="225"/>
        <v>W</v>
      </c>
      <c r="BJ6" s="10" t="str">
        <f t="shared" si="225"/>
        <v>T</v>
      </c>
      <c r="BK6" s="10" t="str">
        <f t="shared" si="225"/>
        <v>F</v>
      </c>
      <c r="BL6" s="10" t="str">
        <f t="shared" si="225"/>
        <v>M</v>
      </c>
      <c r="BM6" s="10" t="str">
        <f t="shared" si="225"/>
        <v>T</v>
      </c>
      <c r="BN6" s="10" t="str">
        <f t="shared" si="225"/>
        <v>W</v>
      </c>
      <c r="BO6" s="10" t="str">
        <f t="shared" si="225"/>
        <v>T</v>
      </c>
      <c r="BP6" s="10" t="str">
        <f t="shared" si="225"/>
        <v>F</v>
      </c>
      <c r="BQ6" s="10" t="str">
        <f t="shared" si="225"/>
        <v>M</v>
      </c>
      <c r="BR6" s="10" t="str">
        <f t="shared" si="225"/>
        <v>T</v>
      </c>
      <c r="BS6" s="10" t="str">
        <f t="shared" si="225"/>
        <v>W</v>
      </c>
      <c r="BT6" s="10" t="str">
        <f t="shared" si="225"/>
        <v>T</v>
      </c>
      <c r="BU6" s="10" t="str">
        <f t="shared" si="225"/>
        <v>F</v>
      </c>
      <c r="BV6" s="10" t="str">
        <f t="shared" si="225"/>
        <v>M</v>
      </c>
      <c r="BW6" s="10" t="str">
        <f t="shared" si="225"/>
        <v>T</v>
      </c>
      <c r="BX6" s="10" t="str">
        <f t="shared" si="225"/>
        <v>W</v>
      </c>
      <c r="BY6" s="10" t="str">
        <f t="shared" si="225"/>
        <v>T</v>
      </c>
      <c r="BZ6" s="10" t="str">
        <f t="shared" si="225"/>
        <v>F</v>
      </c>
      <c r="CA6" s="10" t="str">
        <f t="shared" si="225"/>
        <v>M</v>
      </c>
      <c r="CB6" s="10" t="str">
        <f t="shared" si="225"/>
        <v>T</v>
      </c>
      <c r="CC6" s="10" t="str">
        <f t="shared" si="225"/>
        <v>W</v>
      </c>
      <c r="CD6" s="10" t="str">
        <f t="shared" si="225"/>
        <v>T</v>
      </c>
      <c r="CE6" s="10" t="str">
        <f t="shared" si="225"/>
        <v>F</v>
      </c>
      <c r="CF6" s="10" t="str">
        <f t="shared" si="225"/>
        <v>M</v>
      </c>
      <c r="CG6" s="10" t="str">
        <f t="shared" si="225"/>
        <v>T</v>
      </c>
      <c r="CH6" s="10" t="str">
        <f t="shared" si="225"/>
        <v>W</v>
      </c>
      <c r="CI6" s="10" t="str">
        <f t="shared" si="225"/>
        <v>T</v>
      </c>
      <c r="CJ6" s="10" t="str">
        <f t="shared" si="225"/>
        <v>F</v>
      </c>
      <c r="CK6" s="10" t="str">
        <f t="shared" si="225"/>
        <v>M</v>
      </c>
      <c r="CL6" s="10" t="str">
        <f t="shared" si="225"/>
        <v>T</v>
      </c>
      <c r="CM6" s="10" t="str">
        <f t="shared" si="225"/>
        <v>W</v>
      </c>
      <c r="CN6" s="10" t="str">
        <f t="shared" si="225"/>
        <v>T</v>
      </c>
      <c r="CO6" s="10" t="str">
        <f t="shared" si="225"/>
        <v>F</v>
      </c>
      <c r="CP6" s="10" t="str">
        <f t="shared" si="225"/>
        <v>M</v>
      </c>
      <c r="CQ6" s="10" t="str">
        <f t="shared" si="225"/>
        <v>T</v>
      </c>
      <c r="CR6" s="10" t="str">
        <f t="shared" si="225"/>
        <v>W</v>
      </c>
      <c r="CS6" s="10" t="str">
        <f t="shared" si="225"/>
        <v>T</v>
      </c>
      <c r="CT6" s="10" t="str">
        <f t="shared" si="225"/>
        <v>F</v>
      </c>
      <c r="CU6" s="10" t="str">
        <f t="shared" si="225"/>
        <v>M</v>
      </c>
      <c r="CV6" s="10" t="str">
        <f t="shared" si="225"/>
        <v>T</v>
      </c>
      <c r="CW6" s="10" t="str">
        <f t="shared" si="225"/>
        <v>W</v>
      </c>
      <c r="CX6" s="10" t="str">
        <f t="shared" si="225"/>
        <v>T</v>
      </c>
      <c r="CY6" s="10" t="str">
        <f t="shared" si="225"/>
        <v>F</v>
      </c>
      <c r="CZ6" s="10" t="str">
        <f t="shared" si="225"/>
        <v>M</v>
      </c>
      <c r="DA6" s="10" t="str">
        <f t="shared" si="225"/>
        <v>T</v>
      </c>
      <c r="DB6" s="10" t="str">
        <f t="shared" si="225"/>
        <v>W</v>
      </c>
      <c r="DC6" s="10" t="str">
        <f t="shared" si="225"/>
        <v>T</v>
      </c>
      <c r="DD6" s="10" t="str">
        <f t="shared" si="225"/>
        <v>F</v>
      </c>
      <c r="DE6" s="10" t="str">
        <f t="shared" ref="DE6:FP6" si="226">LEFT(TEXT(DE5,"ddd"),1)</f>
        <v>M</v>
      </c>
      <c r="DF6" s="10" t="str">
        <f t="shared" si="226"/>
        <v>T</v>
      </c>
      <c r="DG6" s="10" t="str">
        <f t="shared" si="226"/>
        <v>W</v>
      </c>
      <c r="DH6" s="10" t="str">
        <f t="shared" si="226"/>
        <v>T</v>
      </c>
      <c r="DI6" s="10" t="str">
        <f t="shared" si="226"/>
        <v>F</v>
      </c>
      <c r="DJ6" s="10" t="str">
        <f t="shared" si="226"/>
        <v>M</v>
      </c>
      <c r="DK6" s="10" t="str">
        <f t="shared" si="226"/>
        <v>T</v>
      </c>
      <c r="DL6" s="10" t="str">
        <f t="shared" si="226"/>
        <v>W</v>
      </c>
      <c r="DM6" s="10" t="str">
        <f t="shared" si="226"/>
        <v>T</v>
      </c>
      <c r="DN6" s="10" t="str">
        <f t="shared" si="226"/>
        <v>F</v>
      </c>
      <c r="DO6" s="10" t="str">
        <f t="shared" si="226"/>
        <v>M</v>
      </c>
      <c r="DP6" s="10" t="str">
        <f t="shared" si="226"/>
        <v>T</v>
      </c>
      <c r="DQ6" s="10" t="str">
        <f t="shared" si="226"/>
        <v>W</v>
      </c>
      <c r="DR6" s="10" t="str">
        <f t="shared" si="226"/>
        <v>T</v>
      </c>
      <c r="DS6" s="10" t="str">
        <f t="shared" si="226"/>
        <v>F</v>
      </c>
      <c r="DT6" s="10" t="str">
        <f t="shared" si="226"/>
        <v>M</v>
      </c>
      <c r="DU6" s="10" t="str">
        <f t="shared" si="226"/>
        <v>T</v>
      </c>
      <c r="DV6" s="10" t="str">
        <f t="shared" si="226"/>
        <v>W</v>
      </c>
      <c r="DW6" s="10" t="str">
        <f t="shared" si="226"/>
        <v>T</v>
      </c>
      <c r="DX6" s="10" t="str">
        <f t="shared" si="226"/>
        <v>F</v>
      </c>
      <c r="DY6" s="10" t="str">
        <f t="shared" si="226"/>
        <v>M</v>
      </c>
      <c r="DZ6" s="10" t="str">
        <f t="shared" si="226"/>
        <v>T</v>
      </c>
      <c r="EA6" s="10" t="str">
        <f t="shared" si="226"/>
        <v>W</v>
      </c>
      <c r="EB6" s="10" t="str">
        <f t="shared" si="226"/>
        <v>T</v>
      </c>
      <c r="EC6" s="10" t="str">
        <f t="shared" si="226"/>
        <v>F</v>
      </c>
      <c r="ED6" s="10" t="str">
        <f t="shared" si="226"/>
        <v>M</v>
      </c>
      <c r="EE6" s="10" t="str">
        <f t="shared" si="226"/>
        <v>T</v>
      </c>
      <c r="EF6" s="10" t="str">
        <f t="shared" si="226"/>
        <v>W</v>
      </c>
      <c r="EG6" s="10" t="str">
        <f t="shared" si="226"/>
        <v>T</v>
      </c>
      <c r="EH6" s="10" t="str">
        <f t="shared" si="226"/>
        <v>F</v>
      </c>
      <c r="EI6" s="10" t="str">
        <f t="shared" si="226"/>
        <v>M</v>
      </c>
      <c r="EJ6" s="10" t="str">
        <f t="shared" si="226"/>
        <v>T</v>
      </c>
      <c r="EK6" s="10" t="str">
        <f t="shared" si="226"/>
        <v>W</v>
      </c>
      <c r="EL6" s="10" t="str">
        <f t="shared" si="226"/>
        <v>T</v>
      </c>
      <c r="EM6" s="10" t="str">
        <f t="shared" si="226"/>
        <v>F</v>
      </c>
      <c r="EN6" s="10" t="str">
        <f t="shared" si="226"/>
        <v>M</v>
      </c>
      <c r="EO6" s="10" t="str">
        <f t="shared" si="226"/>
        <v>T</v>
      </c>
      <c r="EP6" s="10" t="str">
        <f t="shared" si="226"/>
        <v>W</v>
      </c>
      <c r="EQ6" s="10" t="str">
        <f t="shared" si="226"/>
        <v>T</v>
      </c>
      <c r="ER6" s="10" t="str">
        <f t="shared" si="226"/>
        <v>F</v>
      </c>
      <c r="ES6" s="10" t="str">
        <f t="shared" si="226"/>
        <v>M</v>
      </c>
      <c r="ET6" s="10" t="str">
        <f t="shared" si="226"/>
        <v>T</v>
      </c>
      <c r="EU6" s="10" t="str">
        <f t="shared" si="226"/>
        <v>W</v>
      </c>
      <c r="EV6" s="10" t="str">
        <f t="shared" si="226"/>
        <v>T</v>
      </c>
      <c r="EW6" s="10" t="str">
        <f t="shared" si="226"/>
        <v>F</v>
      </c>
      <c r="EX6" s="10" t="str">
        <f t="shared" si="226"/>
        <v>M</v>
      </c>
      <c r="EY6" s="10" t="str">
        <f t="shared" si="226"/>
        <v>T</v>
      </c>
      <c r="EZ6" s="10" t="str">
        <f t="shared" si="226"/>
        <v>W</v>
      </c>
      <c r="FA6" s="10" t="str">
        <f t="shared" si="226"/>
        <v>T</v>
      </c>
      <c r="FB6" s="10" t="str">
        <f t="shared" si="226"/>
        <v>F</v>
      </c>
      <c r="FC6" s="10" t="str">
        <f t="shared" si="226"/>
        <v>M</v>
      </c>
      <c r="FD6" s="10" t="str">
        <f t="shared" si="226"/>
        <v>T</v>
      </c>
      <c r="FE6" s="10" t="str">
        <f t="shared" si="226"/>
        <v>W</v>
      </c>
      <c r="FF6" s="10" t="str">
        <f t="shared" si="226"/>
        <v>T</v>
      </c>
      <c r="FG6" s="10" t="str">
        <f t="shared" si="226"/>
        <v>F</v>
      </c>
      <c r="FH6" s="10" t="str">
        <f t="shared" si="226"/>
        <v>M</v>
      </c>
      <c r="FI6" s="10" t="str">
        <f t="shared" si="226"/>
        <v>T</v>
      </c>
      <c r="FJ6" s="10" t="str">
        <f t="shared" si="226"/>
        <v>W</v>
      </c>
      <c r="FK6" s="10" t="str">
        <f t="shared" si="226"/>
        <v>T</v>
      </c>
      <c r="FL6" s="10" t="str">
        <f t="shared" si="226"/>
        <v>F</v>
      </c>
      <c r="FM6" s="10" t="str">
        <f t="shared" si="226"/>
        <v>M</v>
      </c>
      <c r="FN6" s="10" t="str">
        <f t="shared" si="226"/>
        <v>T</v>
      </c>
      <c r="FO6" s="10" t="str">
        <f t="shared" si="226"/>
        <v>W</v>
      </c>
      <c r="FP6" s="10" t="str">
        <f t="shared" si="226"/>
        <v>T</v>
      </c>
      <c r="FQ6" s="10" t="str">
        <f t="shared" ref="FQ6:IB6" si="227">LEFT(TEXT(FQ5,"ddd"),1)</f>
        <v>F</v>
      </c>
      <c r="FR6" s="10" t="str">
        <f t="shared" si="227"/>
        <v>M</v>
      </c>
      <c r="FS6" s="10" t="str">
        <f t="shared" si="227"/>
        <v>T</v>
      </c>
      <c r="FT6" s="10" t="str">
        <f t="shared" si="227"/>
        <v>W</v>
      </c>
      <c r="FU6" s="10" t="str">
        <f t="shared" si="227"/>
        <v>T</v>
      </c>
      <c r="FV6" s="10" t="str">
        <f t="shared" si="227"/>
        <v>F</v>
      </c>
      <c r="FW6" s="10" t="str">
        <f t="shared" si="227"/>
        <v>M</v>
      </c>
      <c r="FX6" s="10" t="str">
        <f t="shared" si="227"/>
        <v>T</v>
      </c>
      <c r="FY6" s="10" t="str">
        <f t="shared" si="227"/>
        <v>W</v>
      </c>
      <c r="FZ6" s="10" t="str">
        <f t="shared" si="227"/>
        <v>T</v>
      </c>
      <c r="GA6" s="10" t="str">
        <f t="shared" si="227"/>
        <v>F</v>
      </c>
      <c r="GB6" s="10" t="str">
        <f t="shared" si="227"/>
        <v>M</v>
      </c>
      <c r="GC6" s="10" t="str">
        <f t="shared" si="227"/>
        <v>T</v>
      </c>
      <c r="GD6" s="10" t="str">
        <f t="shared" si="227"/>
        <v>W</v>
      </c>
      <c r="GE6" s="10" t="str">
        <f t="shared" si="227"/>
        <v>T</v>
      </c>
      <c r="GF6" s="10" t="str">
        <f t="shared" si="227"/>
        <v>F</v>
      </c>
      <c r="GG6" s="10" t="str">
        <f t="shared" si="227"/>
        <v>M</v>
      </c>
      <c r="GH6" s="10" t="str">
        <f t="shared" si="227"/>
        <v>T</v>
      </c>
      <c r="GI6" s="10" t="str">
        <f t="shared" si="227"/>
        <v>W</v>
      </c>
      <c r="GJ6" s="10" t="str">
        <f t="shared" si="227"/>
        <v>T</v>
      </c>
      <c r="GK6" s="10" t="str">
        <f t="shared" si="227"/>
        <v>F</v>
      </c>
      <c r="GL6" s="10" t="str">
        <f t="shared" si="227"/>
        <v>M</v>
      </c>
      <c r="GM6" s="10" t="str">
        <f t="shared" si="227"/>
        <v>T</v>
      </c>
      <c r="GN6" s="10" t="str">
        <f t="shared" si="227"/>
        <v>W</v>
      </c>
      <c r="GO6" s="10" t="str">
        <f t="shared" si="227"/>
        <v>T</v>
      </c>
      <c r="GP6" s="10" t="str">
        <f t="shared" si="227"/>
        <v>F</v>
      </c>
      <c r="GQ6" s="10" t="str">
        <f t="shared" si="227"/>
        <v>M</v>
      </c>
      <c r="GR6" s="10" t="str">
        <f t="shared" si="227"/>
        <v>T</v>
      </c>
      <c r="GS6" s="10" t="str">
        <f t="shared" si="227"/>
        <v>W</v>
      </c>
      <c r="GT6" s="10" t="str">
        <f t="shared" si="227"/>
        <v>T</v>
      </c>
      <c r="GU6" s="10" t="str">
        <f t="shared" si="227"/>
        <v>F</v>
      </c>
      <c r="GV6" s="10" t="str">
        <f t="shared" si="227"/>
        <v>M</v>
      </c>
      <c r="GW6" s="10" t="str">
        <f t="shared" si="227"/>
        <v>T</v>
      </c>
      <c r="GX6" s="10" t="str">
        <f t="shared" si="227"/>
        <v>W</v>
      </c>
      <c r="GY6" s="10" t="str">
        <f t="shared" si="227"/>
        <v>T</v>
      </c>
      <c r="GZ6" s="10" t="str">
        <f t="shared" si="227"/>
        <v>F</v>
      </c>
      <c r="HA6" s="10" t="str">
        <f t="shared" si="227"/>
        <v>M</v>
      </c>
      <c r="HB6" s="10" t="str">
        <f t="shared" si="227"/>
        <v>T</v>
      </c>
      <c r="HC6" s="10" t="str">
        <f t="shared" si="227"/>
        <v>W</v>
      </c>
      <c r="HD6" s="10" t="str">
        <f t="shared" si="227"/>
        <v>T</v>
      </c>
      <c r="HE6" s="10" t="str">
        <f t="shared" si="227"/>
        <v>F</v>
      </c>
      <c r="HF6" s="10" t="str">
        <f t="shared" si="227"/>
        <v>M</v>
      </c>
      <c r="HG6" s="10" t="str">
        <f t="shared" si="227"/>
        <v>T</v>
      </c>
      <c r="HH6" s="10" t="str">
        <f t="shared" si="227"/>
        <v>W</v>
      </c>
      <c r="HI6" s="10" t="str">
        <f t="shared" si="227"/>
        <v>T</v>
      </c>
      <c r="HJ6" s="10" t="str">
        <f t="shared" si="227"/>
        <v>F</v>
      </c>
      <c r="HK6" s="10" t="str">
        <f t="shared" si="227"/>
        <v>M</v>
      </c>
      <c r="HL6" s="10" t="str">
        <f t="shared" si="227"/>
        <v>T</v>
      </c>
      <c r="HM6" s="10" t="str">
        <f t="shared" si="227"/>
        <v>W</v>
      </c>
      <c r="HN6" s="10" t="str">
        <f t="shared" si="227"/>
        <v>T</v>
      </c>
      <c r="HO6" s="10" t="str">
        <f t="shared" si="227"/>
        <v>F</v>
      </c>
      <c r="HP6" s="10" t="str">
        <f t="shared" si="227"/>
        <v>M</v>
      </c>
      <c r="HQ6" s="10" t="str">
        <f t="shared" si="227"/>
        <v>T</v>
      </c>
      <c r="HR6" s="10" t="str">
        <f t="shared" si="227"/>
        <v>W</v>
      </c>
      <c r="HS6" s="10" t="str">
        <f t="shared" si="227"/>
        <v>T</v>
      </c>
      <c r="HT6" s="10" t="str">
        <f t="shared" si="227"/>
        <v>F</v>
      </c>
      <c r="HU6" s="10" t="str">
        <f t="shared" si="227"/>
        <v>M</v>
      </c>
      <c r="HV6" s="10" t="str">
        <f t="shared" si="227"/>
        <v>T</v>
      </c>
      <c r="HW6" s="10" t="str">
        <f t="shared" si="227"/>
        <v>W</v>
      </c>
      <c r="HX6" s="10" t="str">
        <f t="shared" si="227"/>
        <v>T</v>
      </c>
      <c r="HY6" s="10" t="str">
        <f t="shared" si="227"/>
        <v>F</v>
      </c>
      <c r="HZ6" s="10" t="str">
        <f t="shared" si="227"/>
        <v>M</v>
      </c>
      <c r="IA6" s="10" t="str">
        <f t="shared" si="227"/>
        <v>T</v>
      </c>
      <c r="IB6" s="10" t="str">
        <f t="shared" si="227"/>
        <v>W</v>
      </c>
      <c r="IC6" s="10" t="str">
        <f t="shared" ref="IC6:ID6" si="228">LEFT(TEXT(IC5,"ddd"),1)</f>
        <v>T</v>
      </c>
      <c r="ID6" s="10" t="str">
        <f t="shared" si="228"/>
        <v>F</v>
      </c>
      <c r="IE6" s="10"/>
    </row>
    <row r="7" spans="1:283" ht="30" hidden="1" customHeight="1" thickBot="1" x14ac:dyDescent="0.35">
      <c r="A7" s="31" t="s">
        <v>6</v>
      </c>
      <c r="C7" s="34"/>
      <c r="E7"/>
      <c r="H7" t="str">
        <f>IF(OR(ISBLANK(task_start),ISBLANK(task_end)),"",task_end-task_start+1)</f>
        <v/>
      </c>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row>
    <row r="8" spans="1:283" ht="30" customHeight="1" thickBot="1" x14ac:dyDescent="0.35">
      <c r="C8" s="34"/>
      <c r="E8"/>
      <c r="I8" s="27"/>
      <c r="J8" s="27"/>
      <c r="K8" s="27"/>
      <c r="L8" s="27"/>
      <c r="M8" s="27"/>
      <c r="N8" s="27"/>
      <c r="O8" s="27"/>
      <c r="P8" s="27"/>
      <c r="Q8" s="27"/>
      <c r="R8" s="27"/>
      <c r="S8" s="27"/>
      <c r="T8" s="27"/>
      <c r="U8" s="27"/>
      <c r="V8" s="27"/>
      <c r="W8" s="27"/>
      <c r="X8" s="27"/>
      <c r="Y8" s="27"/>
      <c r="Z8" s="27"/>
      <c r="AA8" s="27"/>
      <c r="AB8" s="27"/>
      <c r="AC8" s="27"/>
      <c r="AD8" s="27"/>
      <c r="AE8" s="27"/>
      <c r="AF8" s="27"/>
      <c r="AG8" s="86" t="s">
        <v>53</v>
      </c>
      <c r="AH8" s="85"/>
      <c r="AI8" s="27"/>
      <c r="AJ8" s="27"/>
      <c r="AK8" s="27"/>
      <c r="AL8" s="65"/>
      <c r="AM8" s="85"/>
      <c r="AN8" s="27"/>
      <c r="AO8" s="27"/>
      <c r="AP8" s="27"/>
      <c r="AQ8" s="27"/>
      <c r="AR8" s="27"/>
      <c r="AS8" s="27"/>
      <c r="AT8" s="27"/>
      <c r="AU8" s="27"/>
      <c r="AV8" s="27"/>
      <c r="AW8" s="27"/>
      <c r="AX8" s="27"/>
      <c r="AY8" s="27"/>
      <c r="AZ8" s="27"/>
      <c r="BA8" s="27"/>
      <c r="BB8" s="27"/>
      <c r="BC8" s="27"/>
      <c r="BD8" s="27"/>
      <c r="BE8" s="27"/>
      <c r="BF8" s="27"/>
      <c r="BG8" s="27"/>
      <c r="BH8" s="27"/>
      <c r="BI8" s="27"/>
      <c r="BJ8" s="27"/>
      <c r="BK8" s="27"/>
      <c r="BL8" s="27"/>
    </row>
    <row r="9" spans="1:283" s="3" customFormat="1" ht="30" customHeight="1" thickBot="1" x14ac:dyDescent="0.35">
      <c r="A9" s="32" t="s">
        <v>7</v>
      </c>
      <c r="B9" s="73" t="s">
        <v>30</v>
      </c>
      <c r="C9" s="73"/>
      <c r="D9" s="15"/>
      <c r="E9" s="43"/>
      <c r="F9" s="44"/>
      <c r="G9" s="14"/>
      <c r="H9" s="14" t="str">
        <f t="shared" ref="H9:H38" si="229">IF(OR(ISBLANK(task_start),ISBLANK(task_end)),"",task_end-task_start+1)</f>
        <v/>
      </c>
      <c r="I9" s="27"/>
      <c r="J9" s="27"/>
      <c r="K9" s="27"/>
      <c r="L9" s="27"/>
      <c r="M9" s="27"/>
      <c r="N9" s="27"/>
      <c r="O9" s="27"/>
      <c r="P9" s="27"/>
      <c r="Q9" s="27"/>
      <c r="R9" s="27"/>
      <c r="S9" s="27"/>
      <c r="T9" s="27"/>
      <c r="U9" s="27"/>
      <c r="V9" s="27"/>
      <c r="W9" s="27"/>
      <c r="X9" s="27"/>
      <c r="Y9" s="27"/>
      <c r="Z9" s="27"/>
      <c r="AA9" s="27"/>
      <c r="AB9" s="27"/>
      <c r="AC9" s="27"/>
      <c r="AD9" s="27"/>
      <c r="AE9" s="27"/>
      <c r="AF9" s="27"/>
      <c r="AG9" s="87"/>
      <c r="AH9" s="85"/>
      <c r="AI9" s="27"/>
      <c r="AJ9" s="27"/>
      <c r="AK9" s="27"/>
      <c r="AL9" s="65"/>
      <c r="AM9" s="85"/>
      <c r="AN9" s="27"/>
      <c r="AO9" s="27"/>
      <c r="AP9" s="27"/>
      <c r="AQ9" s="27"/>
      <c r="AR9" s="27"/>
      <c r="AS9" s="27"/>
      <c r="AT9" s="27"/>
      <c r="AU9" s="27"/>
      <c r="AV9" s="27"/>
      <c r="AW9" s="68"/>
      <c r="AX9" s="68"/>
      <c r="AY9" s="68"/>
      <c r="AZ9" s="68"/>
      <c r="BA9" s="68"/>
      <c r="BB9" s="68"/>
      <c r="BC9" s="68"/>
      <c r="BD9" s="68"/>
      <c r="BE9" s="68"/>
      <c r="BF9" s="68"/>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27"/>
      <c r="FF9" s="27"/>
      <c r="FG9" s="27"/>
      <c r="FH9" s="27"/>
      <c r="FI9" s="27"/>
      <c r="FJ9" s="27"/>
      <c r="FK9" s="27"/>
      <c r="FL9" s="27"/>
      <c r="FM9" s="27"/>
      <c r="FN9" s="27"/>
      <c r="FO9" s="27"/>
      <c r="FP9" s="27"/>
      <c r="FQ9" s="27"/>
      <c r="FR9" s="27"/>
      <c r="FS9" s="27"/>
      <c r="FT9" s="27"/>
      <c r="FU9" s="27"/>
      <c r="FV9" s="27"/>
      <c r="FW9" s="27"/>
      <c r="FX9" s="27"/>
      <c r="FY9" s="27"/>
      <c r="FZ9" s="27"/>
      <c r="GA9" s="27"/>
      <c r="GB9" s="27"/>
      <c r="GC9" s="27"/>
      <c r="GD9" s="27"/>
      <c r="GE9" s="27"/>
      <c r="GF9" s="27"/>
      <c r="GG9" s="27"/>
      <c r="GH9" s="27"/>
      <c r="GI9" s="27"/>
      <c r="GJ9" s="27"/>
      <c r="GK9" s="27"/>
      <c r="GL9" s="27"/>
      <c r="GM9" s="27"/>
      <c r="GN9" s="27"/>
      <c r="GO9" s="27"/>
      <c r="GP9" s="27"/>
      <c r="GQ9" s="27"/>
      <c r="GR9" s="27"/>
      <c r="GS9" s="27"/>
      <c r="GT9" s="27"/>
      <c r="GU9" s="27"/>
      <c r="GV9" s="27"/>
      <c r="GW9" s="27"/>
      <c r="GX9" s="27"/>
      <c r="GY9" s="27"/>
      <c r="GZ9" s="27"/>
      <c r="HA9" s="27"/>
      <c r="HB9" s="27"/>
      <c r="HC9" s="27"/>
      <c r="HD9" s="27"/>
      <c r="HE9" s="27"/>
      <c r="HF9" s="27"/>
      <c r="HG9" s="27"/>
      <c r="HH9" s="27"/>
      <c r="HI9" s="27"/>
      <c r="HJ9" s="27"/>
      <c r="HK9" s="27"/>
      <c r="HL9" s="27"/>
      <c r="HM9" s="27"/>
      <c r="HN9" s="27"/>
      <c r="HO9" s="27"/>
      <c r="HP9" s="27"/>
      <c r="HQ9" s="27"/>
      <c r="HR9" s="27"/>
      <c r="HS9" s="27"/>
      <c r="HT9" s="27"/>
      <c r="HU9" s="27"/>
      <c r="HV9" s="27"/>
      <c r="HW9" s="27"/>
      <c r="HX9" s="27"/>
      <c r="HY9" s="27"/>
      <c r="HZ9" s="27"/>
      <c r="IA9" s="27"/>
      <c r="IB9" s="27"/>
      <c r="IC9" s="27"/>
      <c r="ID9" s="27"/>
      <c r="IE9" s="27"/>
    </row>
    <row r="10" spans="1:283" s="3" customFormat="1" ht="30" customHeight="1" thickBot="1" x14ac:dyDescent="0.35">
      <c r="A10" s="32" t="s">
        <v>8</v>
      </c>
      <c r="B10" s="74" t="s">
        <v>27</v>
      </c>
      <c r="C10" s="74"/>
      <c r="D10" s="16">
        <v>0</v>
      </c>
      <c r="E10" s="45">
        <f>Project_Start</f>
        <v>45957</v>
      </c>
      <c r="F10" s="45">
        <f>E10+32</f>
        <v>45989</v>
      </c>
      <c r="G10" s="14"/>
      <c r="H10" s="14">
        <f t="shared" si="229"/>
        <v>33</v>
      </c>
      <c r="I10" s="27"/>
      <c r="J10" s="27"/>
      <c r="K10" s="65"/>
      <c r="L10" s="66"/>
      <c r="M10" s="27"/>
      <c r="N10" s="27"/>
      <c r="O10" s="27"/>
      <c r="P10" s="27"/>
      <c r="Q10" s="27"/>
      <c r="R10" s="27"/>
      <c r="S10" s="27"/>
      <c r="T10" s="27"/>
      <c r="U10" s="27"/>
      <c r="V10" s="27"/>
      <c r="W10" s="27"/>
      <c r="X10" s="27"/>
      <c r="Y10" s="27"/>
      <c r="Z10" s="27"/>
      <c r="AA10" s="27"/>
      <c r="AB10" s="27"/>
      <c r="AC10" s="27"/>
      <c r="AD10" s="27"/>
      <c r="AE10" s="27"/>
      <c r="AF10" s="27"/>
      <c r="AG10" s="87"/>
      <c r="AH10" s="85"/>
      <c r="AI10" s="27"/>
      <c r="AJ10" s="27"/>
      <c r="AK10" s="27"/>
      <c r="AL10" s="65"/>
      <c r="AM10" s="85"/>
      <c r="AN10" s="27"/>
      <c r="AO10" s="27"/>
      <c r="AP10" s="27"/>
      <c r="AQ10" s="27"/>
      <c r="AR10" s="27"/>
      <c r="AS10" s="27"/>
      <c r="AT10" s="27"/>
      <c r="AU10" s="27"/>
      <c r="AV10" s="27"/>
      <c r="AW10" s="68"/>
      <c r="AX10" s="68"/>
      <c r="AY10" s="68"/>
      <c r="AZ10" s="68"/>
      <c r="BA10" s="68"/>
      <c r="BB10" s="68"/>
      <c r="BC10" s="68"/>
      <c r="BD10" s="68"/>
      <c r="BE10" s="68"/>
      <c r="BF10" s="68"/>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27"/>
      <c r="FF10" s="27"/>
      <c r="FG10" s="27"/>
      <c r="FH10" s="27"/>
      <c r="FI10" s="27"/>
      <c r="FJ10" s="27"/>
      <c r="FK10" s="27"/>
      <c r="FL10" s="27"/>
      <c r="FM10" s="27"/>
      <c r="FN10" s="27"/>
      <c r="FO10" s="27"/>
      <c r="FP10" s="27"/>
      <c r="FQ10" s="27"/>
      <c r="FR10" s="27"/>
      <c r="FS10" s="27"/>
      <c r="FT10" s="27"/>
      <c r="FU10" s="27"/>
      <c r="FV10" s="27"/>
      <c r="FW10" s="27"/>
      <c r="FX10" s="27"/>
      <c r="FY10" s="27"/>
      <c r="FZ10" s="27"/>
      <c r="GA10" s="27"/>
      <c r="GB10" s="27"/>
      <c r="GC10" s="27"/>
      <c r="GD10" s="27"/>
      <c r="GE10" s="27"/>
      <c r="GF10" s="27"/>
      <c r="GG10" s="27"/>
      <c r="GH10" s="27"/>
      <c r="GI10" s="27"/>
      <c r="GJ10" s="27"/>
      <c r="GK10" s="27"/>
      <c r="GL10" s="27"/>
      <c r="GM10" s="27"/>
      <c r="GN10" s="27"/>
      <c r="GO10" s="27"/>
      <c r="GP10" s="27"/>
      <c r="GQ10" s="27"/>
      <c r="GR10" s="27"/>
      <c r="GS10" s="27"/>
      <c r="GT10" s="27"/>
      <c r="GU10" s="27"/>
      <c r="GV10" s="27"/>
      <c r="GW10" s="27"/>
      <c r="GX10" s="27"/>
      <c r="GY10" s="27"/>
      <c r="GZ10" s="27"/>
      <c r="HA10" s="27"/>
      <c r="HB10" s="27"/>
      <c r="HC10" s="27"/>
      <c r="HD10" s="27"/>
      <c r="HE10" s="27"/>
      <c r="HF10" s="27"/>
      <c r="HG10" s="27"/>
      <c r="HH10" s="27"/>
      <c r="HI10" s="27"/>
      <c r="HJ10" s="27"/>
      <c r="HK10" s="27"/>
      <c r="HL10" s="27"/>
      <c r="HM10" s="27"/>
      <c r="HN10" s="27"/>
      <c r="HO10" s="27"/>
      <c r="HP10" s="27"/>
      <c r="HQ10" s="27"/>
      <c r="HR10" s="27"/>
      <c r="HS10" s="27"/>
      <c r="HT10" s="27"/>
      <c r="HU10" s="27"/>
      <c r="HV10" s="27"/>
      <c r="HW10" s="27"/>
      <c r="HX10" s="27"/>
      <c r="HY10" s="27"/>
      <c r="HZ10" s="27"/>
      <c r="IA10" s="27"/>
      <c r="IB10" s="27"/>
      <c r="IC10" s="27"/>
      <c r="ID10" s="27"/>
      <c r="IE10" s="27"/>
    </row>
    <row r="11" spans="1:283" s="3" customFormat="1" ht="30" customHeight="1" thickBot="1" x14ac:dyDescent="0.35">
      <c r="A11" s="32" t="s">
        <v>9</v>
      </c>
      <c r="B11" s="74" t="s">
        <v>25</v>
      </c>
      <c r="C11" s="74"/>
      <c r="D11" s="16">
        <v>0</v>
      </c>
      <c r="E11" s="45">
        <f>E10</f>
        <v>45957</v>
      </c>
      <c r="F11" s="45">
        <f>E11+15</f>
        <v>45972</v>
      </c>
      <c r="G11" s="14"/>
      <c r="H11" s="14">
        <f t="shared" si="229"/>
        <v>16</v>
      </c>
      <c r="I11" s="27"/>
      <c r="J11" s="27"/>
      <c r="K11" s="27"/>
      <c r="L11" s="27"/>
      <c r="M11" s="27"/>
      <c r="N11" s="27"/>
      <c r="O11" s="27"/>
      <c r="P11" s="27"/>
      <c r="Q11" s="27"/>
      <c r="R11" s="27"/>
      <c r="S11" s="27"/>
      <c r="T11" s="27"/>
      <c r="U11" s="28"/>
      <c r="V11" s="28"/>
      <c r="W11" s="27"/>
      <c r="X11" s="27"/>
      <c r="Y11" s="27"/>
      <c r="Z11" s="27"/>
      <c r="AA11" s="27"/>
      <c r="AB11" s="27"/>
      <c r="AC11" s="27"/>
      <c r="AD11" s="27"/>
      <c r="AE11" s="27"/>
      <c r="AF11" s="27"/>
      <c r="AG11" s="27"/>
      <c r="AH11" s="27"/>
      <c r="AI11" s="27"/>
      <c r="AJ11" s="27"/>
      <c r="AK11" s="27"/>
      <c r="AL11" s="65"/>
      <c r="AM11" s="85"/>
      <c r="AN11" s="27"/>
      <c r="AO11" s="27"/>
      <c r="AP11" s="27"/>
      <c r="AQ11" s="27"/>
      <c r="AR11" s="27"/>
      <c r="AS11" s="27"/>
      <c r="AT11" s="27"/>
      <c r="AU11" s="27"/>
      <c r="AV11" s="27"/>
      <c r="AW11" s="68"/>
      <c r="AX11" s="68"/>
      <c r="AY11" s="68"/>
      <c r="AZ11" s="68"/>
      <c r="BA11" s="68"/>
      <c r="BB11" s="68"/>
      <c r="BC11" s="68"/>
      <c r="BD11" s="68"/>
      <c r="BE11" s="68"/>
      <c r="BF11" s="68"/>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27"/>
      <c r="FF11" s="27"/>
      <c r="FG11" s="27"/>
      <c r="FH11" s="27"/>
      <c r="FI11" s="27"/>
      <c r="FJ11" s="27"/>
      <c r="FK11" s="27"/>
      <c r="FL11" s="27"/>
      <c r="FM11" s="27"/>
      <c r="FN11" s="27"/>
      <c r="FO11" s="27"/>
      <c r="FP11" s="27"/>
      <c r="FQ11" s="27"/>
      <c r="FR11" s="27"/>
      <c r="FS11" s="27"/>
      <c r="FT11" s="27"/>
      <c r="FU11" s="27"/>
      <c r="FV11" s="27"/>
      <c r="FW11" s="27"/>
      <c r="FX11" s="27"/>
      <c r="FY11" s="27"/>
      <c r="FZ11" s="27"/>
      <c r="GA11" s="27"/>
      <c r="GB11" s="27"/>
      <c r="GC11" s="27"/>
      <c r="GD11" s="27"/>
      <c r="GE11" s="27"/>
      <c r="GF11" s="27"/>
      <c r="GG11" s="27"/>
      <c r="GH11" s="27"/>
      <c r="GI11" s="27"/>
      <c r="GJ11" s="27"/>
      <c r="GK11" s="27"/>
      <c r="GL11" s="27"/>
      <c r="GM11" s="27"/>
      <c r="GN11" s="27"/>
      <c r="GO11" s="27"/>
      <c r="GP11" s="27"/>
      <c r="GQ11" s="27"/>
      <c r="GR11" s="27"/>
      <c r="GS11" s="27"/>
      <c r="GT11" s="27"/>
      <c r="GU11" s="27"/>
      <c r="GV11" s="27"/>
      <c r="GW11" s="27"/>
      <c r="GX11" s="27"/>
      <c r="GY11" s="27"/>
      <c r="GZ11" s="27"/>
      <c r="HA11" s="27"/>
      <c r="HB11" s="27"/>
      <c r="HC11" s="27"/>
      <c r="HD11" s="27"/>
      <c r="HE11" s="27"/>
      <c r="HF11" s="27"/>
      <c r="HG11" s="27"/>
      <c r="HH11" s="27"/>
      <c r="HI11" s="27"/>
      <c r="HJ11" s="27"/>
      <c r="HK11" s="27"/>
      <c r="HL11" s="27"/>
      <c r="HM11" s="27"/>
      <c r="HN11" s="27"/>
      <c r="HO11" s="27"/>
      <c r="HP11" s="27"/>
      <c r="HQ11" s="27"/>
      <c r="HR11" s="27"/>
      <c r="HS11" s="27"/>
      <c r="HT11" s="27"/>
      <c r="HU11" s="27"/>
      <c r="HV11" s="27"/>
      <c r="HW11" s="27"/>
      <c r="HX11" s="27"/>
      <c r="HY11" s="27"/>
      <c r="HZ11" s="27"/>
      <c r="IA11" s="27"/>
      <c r="IB11" s="27"/>
      <c r="IC11" s="27"/>
      <c r="ID11" s="27"/>
      <c r="IE11" s="27"/>
    </row>
    <row r="12" spans="1:283" s="3" customFormat="1" ht="30" customHeight="1" thickBot="1" x14ac:dyDescent="0.35">
      <c r="A12" s="31"/>
      <c r="B12" s="74" t="s">
        <v>28</v>
      </c>
      <c r="C12" s="74"/>
      <c r="D12" s="16">
        <v>0</v>
      </c>
      <c r="E12" s="45">
        <f>F11+1</f>
        <v>45973</v>
      </c>
      <c r="F12" s="45">
        <f>E12+1</f>
        <v>45974</v>
      </c>
      <c r="G12" s="14"/>
      <c r="H12" s="14">
        <f t="shared" si="229"/>
        <v>2</v>
      </c>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65"/>
      <c r="AM12" s="85"/>
      <c r="AN12" s="27"/>
      <c r="AO12" s="27"/>
      <c r="AP12" s="27"/>
      <c r="AQ12" s="27"/>
      <c r="AR12" s="27"/>
      <c r="AS12" s="27"/>
      <c r="AT12" s="27"/>
      <c r="AU12" s="27"/>
      <c r="AV12" s="65"/>
      <c r="AW12" s="89"/>
      <c r="AX12" s="68"/>
      <c r="AY12" s="68"/>
      <c r="AZ12" s="68"/>
      <c r="BA12" s="68"/>
      <c r="BB12" s="68"/>
      <c r="BC12" s="68"/>
      <c r="BD12" s="68"/>
      <c r="BE12" s="68"/>
      <c r="BF12" s="68"/>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c r="FI12" s="27"/>
      <c r="FJ12" s="27"/>
      <c r="FK12" s="27"/>
      <c r="FL12" s="27"/>
      <c r="FM12" s="27"/>
      <c r="FN12" s="27"/>
      <c r="FO12" s="27"/>
      <c r="FP12" s="27"/>
      <c r="FQ12" s="27"/>
      <c r="FR12" s="27"/>
      <c r="FS12" s="27"/>
      <c r="FT12" s="27"/>
      <c r="FU12" s="27"/>
      <c r="FV12" s="27"/>
      <c r="FW12" s="27"/>
      <c r="FX12" s="27"/>
      <c r="FY12" s="27"/>
      <c r="FZ12" s="27"/>
      <c r="GA12" s="27"/>
      <c r="GB12" s="27"/>
      <c r="GC12" s="27"/>
      <c r="GD12" s="27"/>
      <c r="GE12" s="27"/>
      <c r="GF12" s="27"/>
      <c r="GG12" s="27"/>
      <c r="GH12" s="27"/>
      <c r="GI12" s="27"/>
      <c r="GJ12" s="27"/>
      <c r="GK12" s="27"/>
      <c r="GL12" s="27"/>
      <c r="GM12" s="27"/>
      <c r="GN12" s="27"/>
      <c r="GO12" s="27"/>
      <c r="GP12" s="27"/>
      <c r="GQ12" s="27"/>
      <c r="GR12" s="27"/>
      <c r="GS12" s="27"/>
      <c r="GT12" s="27"/>
      <c r="GU12" s="27"/>
      <c r="GV12" s="27"/>
      <c r="GW12" s="27"/>
      <c r="GX12" s="27"/>
      <c r="GY12" s="27"/>
      <c r="GZ12" s="27"/>
      <c r="HA12" s="27"/>
      <c r="HB12" s="27"/>
      <c r="HC12" s="27"/>
      <c r="HD12" s="27"/>
      <c r="HE12" s="27"/>
      <c r="HF12" s="27"/>
      <c r="HG12" s="27"/>
      <c r="HH12" s="27"/>
      <c r="HI12" s="27"/>
      <c r="HJ12" s="27"/>
      <c r="HK12" s="27"/>
      <c r="HL12" s="27"/>
      <c r="HM12" s="27"/>
      <c r="HN12" s="27"/>
      <c r="HO12" s="27"/>
      <c r="HP12" s="27"/>
      <c r="HQ12" s="27"/>
      <c r="HR12" s="27"/>
      <c r="HS12" s="27"/>
      <c r="HT12" s="27"/>
      <c r="HU12" s="27"/>
      <c r="HV12" s="27"/>
      <c r="HW12" s="27"/>
      <c r="HX12" s="27"/>
      <c r="HY12" s="27"/>
      <c r="HZ12" s="27"/>
      <c r="IA12" s="27"/>
      <c r="IB12" s="27"/>
      <c r="IC12" s="27"/>
      <c r="ID12" s="27"/>
      <c r="IE12" s="27"/>
    </row>
    <row r="13" spans="1:283" s="3" customFormat="1" ht="30" customHeight="1" thickBot="1" x14ac:dyDescent="0.35">
      <c r="A13" s="31"/>
      <c r="B13" s="61" t="s">
        <v>51</v>
      </c>
      <c r="C13" s="61"/>
      <c r="D13" s="16">
        <v>0</v>
      </c>
      <c r="E13" s="45">
        <v>45964</v>
      </c>
      <c r="F13" s="45">
        <f>F15</f>
        <v>45996</v>
      </c>
      <c r="G13" s="14"/>
      <c r="H13" s="14"/>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87"/>
      <c r="AM13" s="85"/>
      <c r="AN13" s="27"/>
      <c r="AO13" s="27"/>
      <c r="AP13" s="27"/>
      <c r="AQ13" s="27"/>
      <c r="AR13" s="27"/>
      <c r="AS13" s="27"/>
      <c r="AT13" s="27"/>
      <c r="AU13" s="27"/>
      <c r="AV13" s="65"/>
      <c r="AW13" s="89"/>
      <c r="AX13" s="68"/>
      <c r="AY13" s="68"/>
      <c r="AZ13" s="68"/>
      <c r="BA13" s="68"/>
      <c r="BB13" s="68"/>
      <c r="BC13" s="68"/>
      <c r="BD13" s="68"/>
      <c r="BE13" s="68"/>
      <c r="BF13" s="68"/>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row>
    <row r="14" spans="1:283" s="3" customFormat="1" ht="30" customHeight="1" thickBot="1" x14ac:dyDescent="0.35">
      <c r="A14" s="31"/>
      <c r="B14" s="74" t="s">
        <v>26</v>
      </c>
      <c r="C14" s="74"/>
      <c r="D14" s="16">
        <v>0</v>
      </c>
      <c r="E14" s="45">
        <v>45981</v>
      </c>
      <c r="F14" s="45">
        <f>E14+10</f>
        <v>45991</v>
      </c>
      <c r="G14" s="14"/>
      <c r="H14" s="14">
        <f t="shared" si="229"/>
        <v>11</v>
      </c>
      <c r="I14" s="27"/>
      <c r="J14" s="27"/>
      <c r="K14" s="27"/>
      <c r="L14" s="27"/>
      <c r="M14" s="27"/>
      <c r="N14" s="27"/>
      <c r="O14" s="27"/>
      <c r="P14" s="27"/>
      <c r="Q14" s="27"/>
      <c r="R14" s="27"/>
      <c r="S14" s="27"/>
      <c r="T14" s="27"/>
      <c r="U14" s="27"/>
      <c r="V14" s="27"/>
      <c r="W14" s="27"/>
      <c r="X14" s="27"/>
      <c r="Y14" s="28"/>
      <c r="Z14" s="27"/>
      <c r="AA14" s="27"/>
      <c r="AB14" s="27"/>
      <c r="AC14" s="27"/>
      <c r="AD14" s="27"/>
      <c r="AE14" s="27"/>
      <c r="AF14" s="27"/>
      <c r="AG14" s="27"/>
      <c r="AH14" s="27"/>
      <c r="AI14" s="27"/>
      <c r="AJ14" s="27"/>
      <c r="AK14" s="27"/>
      <c r="AL14" s="65"/>
      <c r="AM14" s="85"/>
      <c r="AN14" s="27"/>
      <c r="AO14" s="27"/>
      <c r="AP14" s="27"/>
      <c r="AQ14" s="27"/>
      <c r="AR14" s="27"/>
      <c r="AS14" s="27"/>
      <c r="AT14" s="27"/>
      <c r="AU14" s="27"/>
      <c r="AV14" s="86" t="s">
        <v>54</v>
      </c>
      <c r="AW14" s="89"/>
      <c r="AX14" s="68"/>
      <c r="AY14" s="68"/>
      <c r="AZ14" s="68"/>
      <c r="BA14" s="68"/>
      <c r="BB14" s="68"/>
      <c r="BC14" s="68"/>
      <c r="BD14" s="68"/>
      <c r="BE14" s="68"/>
      <c r="BF14" s="68"/>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27"/>
      <c r="FF14" s="27"/>
      <c r="FG14" s="27"/>
      <c r="FH14" s="27"/>
      <c r="FI14" s="27"/>
      <c r="FJ14" s="27"/>
      <c r="FK14" s="27"/>
      <c r="FL14" s="27"/>
      <c r="FM14" s="27"/>
      <c r="FN14" s="27"/>
      <c r="FO14" s="27"/>
      <c r="FP14" s="27"/>
      <c r="FQ14" s="27"/>
      <c r="FR14" s="27"/>
      <c r="FS14" s="27"/>
      <c r="FT14" s="27"/>
      <c r="FU14" s="27"/>
      <c r="FV14" s="27"/>
      <c r="FW14" s="27"/>
      <c r="FX14" s="27"/>
      <c r="FY14" s="27"/>
      <c r="FZ14" s="27"/>
      <c r="GA14" s="27"/>
      <c r="GB14" s="27"/>
      <c r="GC14" s="27"/>
      <c r="GD14" s="27"/>
      <c r="GE14" s="27"/>
      <c r="GF14" s="27"/>
      <c r="GG14" s="27"/>
      <c r="GH14" s="27"/>
      <c r="GI14" s="27"/>
      <c r="GJ14" s="27"/>
      <c r="GK14" s="27"/>
      <c r="GL14" s="27"/>
      <c r="GM14" s="27"/>
      <c r="GN14" s="27"/>
      <c r="GO14" s="27"/>
      <c r="GP14" s="27"/>
      <c r="GQ14" s="27"/>
      <c r="GR14" s="27"/>
      <c r="GS14" s="27"/>
      <c r="GT14" s="27"/>
      <c r="GU14" s="27"/>
      <c r="GV14" s="27"/>
      <c r="GW14" s="27"/>
      <c r="GX14" s="27"/>
      <c r="GY14" s="27"/>
      <c r="GZ14" s="27"/>
      <c r="HA14" s="27"/>
      <c r="HB14" s="27"/>
      <c r="HC14" s="27"/>
      <c r="HD14" s="27"/>
      <c r="HE14" s="27"/>
      <c r="HF14" s="27"/>
      <c r="HG14" s="27"/>
      <c r="HH14" s="27"/>
      <c r="HI14" s="27"/>
      <c r="HJ14" s="27"/>
      <c r="HK14" s="27"/>
      <c r="HL14" s="27"/>
      <c r="HM14" s="27"/>
      <c r="HN14" s="27"/>
      <c r="HO14" s="27"/>
      <c r="HP14" s="27"/>
      <c r="HQ14" s="27"/>
      <c r="HR14" s="27"/>
      <c r="HS14" s="27"/>
      <c r="HT14" s="27"/>
      <c r="HU14" s="27"/>
      <c r="HV14" s="27"/>
      <c r="HW14" s="27"/>
      <c r="HX14" s="27"/>
      <c r="HY14" s="27"/>
      <c r="HZ14" s="27"/>
      <c r="IA14" s="27"/>
      <c r="IB14" s="27"/>
      <c r="IC14" s="27"/>
      <c r="ID14" s="27"/>
      <c r="IE14" s="27"/>
    </row>
    <row r="15" spans="1:283" s="3" customFormat="1" ht="30" customHeight="1" thickBot="1" x14ac:dyDescent="0.35">
      <c r="A15" s="31"/>
      <c r="B15" s="74" t="s">
        <v>29</v>
      </c>
      <c r="C15" s="74"/>
      <c r="D15" s="16">
        <v>0</v>
      </c>
      <c r="E15" s="45">
        <v>45964</v>
      </c>
      <c r="F15" s="45">
        <f>F14+5</f>
        <v>45996</v>
      </c>
      <c r="G15" s="14"/>
      <c r="H15" s="14"/>
      <c r="I15" s="27"/>
      <c r="J15" s="27"/>
      <c r="K15" s="27"/>
      <c r="L15" s="27"/>
      <c r="M15" s="27"/>
      <c r="N15" s="27"/>
      <c r="O15" s="27"/>
      <c r="P15" s="27"/>
      <c r="Q15" s="27"/>
      <c r="R15" s="27"/>
      <c r="S15" s="27"/>
      <c r="T15" s="27"/>
      <c r="U15" s="27"/>
      <c r="V15" s="27"/>
      <c r="W15" s="27"/>
      <c r="X15" s="27"/>
      <c r="Y15" s="28"/>
      <c r="Z15" s="27"/>
      <c r="AA15" s="27"/>
      <c r="AB15" s="27"/>
      <c r="AC15" s="27"/>
      <c r="AD15" s="27"/>
      <c r="AE15" s="27"/>
      <c r="AF15" s="27"/>
      <c r="AG15" s="27"/>
      <c r="AH15" s="27"/>
      <c r="AI15" s="27"/>
      <c r="AJ15" s="27"/>
      <c r="AK15" s="27"/>
      <c r="AL15" s="87"/>
      <c r="AM15" s="85"/>
      <c r="AN15" s="27"/>
      <c r="AO15" s="27"/>
      <c r="AP15" s="27"/>
      <c r="AQ15" s="27"/>
      <c r="AR15" s="27"/>
      <c r="AS15" s="27"/>
      <c r="AT15" s="27"/>
      <c r="AU15" s="27"/>
      <c r="AV15" s="87"/>
      <c r="AW15" s="89"/>
      <c r="AX15" s="68"/>
      <c r="AY15" s="68"/>
      <c r="AZ15" s="68"/>
      <c r="BA15" s="68"/>
      <c r="BB15" s="68"/>
      <c r="BC15" s="68"/>
      <c r="BD15" s="68"/>
      <c r="BE15" s="68"/>
      <c r="BF15" s="68"/>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c r="FL15" s="27"/>
      <c r="FM15" s="27"/>
      <c r="FN15" s="27"/>
      <c r="FO15" s="27"/>
      <c r="FP15" s="27"/>
      <c r="FQ15" s="27"/>
      <c r="FR15" s="27"/>
      <c r="FS15" s="27"/>
      <c r="FT15" s="27"/>
      <c r="FU15" s="27"/>
      <c r="FV15" s="27"/>
      <c r="FW15" s="27"/>
      <c r="FX15" s="27"/>
      <c r="FY15" s="27"/>
      <c r="FZ15" s="27"/>
      <c r="GA15" s="27"/>
      <c r="GB15" s="27"/>
      <c r="GC15" s="27"/>
      <c r="GD15" s="27"/>
      <c r="GE15" s="27"/>
      <c r="GF15" s="27"/>
      <c r="GG15" s="27"/>
      <c r="GH15" s="27"/>
      <c r="GI15" s="27"/>
      <c r="GJ15" s="27"/>
      <c r="GK15" s="27"/>
      <c r="GL15" s="27"/>
      <c r="GM15" s="27"/>
      <c r="GN15" s="27"/>
      <c r="GO15" s="27"/>
      <c r="GP15" s="27"/>
      <c r="GQ15" s="27"/>
      <c r="GR15" s="27"/>
      <c r="GS15" s="27"/>
      <c r="GT15" s="27"/>
      <c r="GU15" s="27"/>
      <c r="GV15" s="27"/>
      <c r="GW15" s="27"/>
      <c r="GX15" s="27"/>
      <c r="GY15" s="27"/>
      <c r="GZ15" s="27"/>
      <c r="HA15" s="27"/>
      <c r="HB15" s="27"/>
      <c r="HC15" s="27"/>
      <c r="HD15" s="27"/>
      <c r="HE15" s="27"/>
      <c r="HF15" s="27"/>
      <c r="HG15" s="27"/>
      <c r="HH15" s="27"/>
      <c r="HI15" s="27"/>
      <c r="HJ15" s="27"/>
      <c r="HK15" s="27"/>
      <c r="HL15" s="27"/>
      <c r="HM15" s="27"/>
      <c r="HN15" s="27"/>
      <c r="HO15" s="27"/>
      <c r="HP15" s="27"/>
      <c r="HQ15" s="27"/>
      <c r="HR15" s="27"/>
      <c r="HS15" s="27"/>
      <c r="HT15" s="27"/>
      <c r="HU15" s="27"/>
      <c r="HV15" s="27"/>
      <c r="HW15" s="27"/>
      <c r="HX15" s="27"/>
      <c r="HY15" s="27"/>
      <c r="HZ15" s="27"/>
      <c r="IA15" s="27"/>
      <c r="IB15" s="27"/>
      <c r="IC15" s="27"/>
      <c r="ID15" s="27"/>
      <c r="IE15" s="27"/>
    </row>
    <row r="16" spans="1:283" s="3" customFormat="1" ht="30" customHeight="1" thickBot="1" x14ac:dyDescent="0.35">
      <c r="A16" s="31"/>
      <c r="B16" s="74" t="s">
        <v>34</v>
      </c>
      <c r="C16" s="74"/>
      <c r="D16" s="16">
        <v>0</v>
      </c>
      <c r="E16" s="45">
        <f>F15+3</f>
        <v>45999</v>
      </c>
      <c r="F16" s="45">
        <v>46010</v>
      </c>
      <c r="G16" s="14"/>
      <c r="H16" s="14">
        <f t="shared" si="229"/>
        <v>12</v>
      </c>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68"/>
      <c r="AX16" s="68"/>
      <c r="AY16" s="68"/>
      <c r="AZ16" s="68"/>
      <c r="BA16" s="68"/>
      <c r="BB16" s="68"/>
      <c r="BC16" s="68"/>
      <c r="BD16" s="68"/>
      <c r="BE16" s="68"/>
      <c r="BF16" s="68"/>
      <c r="BG16" s="27"/>
      <c r="BH16" s="27"/>
      <c r="BI16" s="27"/>
      <c r="BJ16" s="27"/>
      <c r="BK16" s="27"/>
      <c r="BL16" s="27"/>
      <c r="BM16" s="27"/>
      <c r="BN16" s="27"/>
      <c r="BO16" s="27"/>
      <c r="BP16" s="86" t="s">
        <v>32</v>
      </c>
      <c r="BQ16" s="85"/>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27"/>
      <c r="FF16" s="27"/>
      <c r="FG16" s="27"/>
      <c r="FH16" s="27"/>
      <c r="FI16" s="27"/>
      <c r="FJ16" s="27"/>
      <c r="FK16" s="27"/>
      <c r="FL16" s="27"/>
      <c r="FM16" s="27"/>
      <c r="FN16" s="27"/>
      <c r="FO16" s="27"/>
      <c r="FP16" s="27"/>
      <c r="FQ16" s="27"/>
      <c r="FR16" s="27"/>
      <c r="FS16" s="27"/>
      <c r="FT16" s="27"/>
      <c r="FU16" s="27"/>
      <c r="FV16" s="27"/>
      <c r="FW16" s="27"/>
      <c r="FX16" s="27"/>
      <c r="FY16" s="27"/>
      <c r="FZ16" s="27"/>
      <c r="GA16" s="27"/>
      <c r="GB16" s="27"/>
      <c r="GC16" s="27"/>
      <c r="GD16" s="27"/>
      <c r="GE16" s="27"/>
      <c r="GF16" s="27"/>
      <c r="GG16" s="27"/>
      <c r="GH16" s="27"/>
      <c r="GI16" s="27"/>
      <c r="GJ16" s="27"/>
      <c r="GK16" s="27"/>
      <c r="GL16" s="27"/>
      <c r="GM16" s="27"/>
      <c r="GN16" s="27"/>
      <c r="GO16" s="27"/>
      <c r="GP16" s="27"/>
      <c r="GQ16" s="27"/>
      <c r="GR16" s="27"/>
      <c r="GS16" s="27"/>
      <c r="GT16" s="27"/>
      <c r="GU16" s="27"/>
      <c r="GV16" s="27"/>
      <c r="GW16" s="27"/>
      <c r="GX16" s="27"/>
      <c r="GY16" s="27"/>
      <c r="GZ16" s="27"/>
      <c r="HA16" s="27"/>
      <c r="HB16" s="27"/>
      <c r="HC16" s="27"/>
      <c r="HD16" s="27"/>
      <c r="HE16" s="27"/>
      <c r="HF16" s="27"/>
      <c r="HG16" s="27"/>
      <c r="HH16" s="27"/>
      <c r="HI16" s="27"/>
      <c r="HJ16" s="27"/>
      <c r="HK16" s="27"/>
      <c r="HL16" s="27"/>
      <c r="HM16" s="27"/>
      <c r="HN16" s="27"/>
      <c r="HO16" s="27"/>
      <c r="HP16" s="27"/>
      <c r="HQ16" s="27"/>
      <c r="HR16" s="27"/>
      <c r="HS16" s="27"/>
      <c r="HT16" s="27"/>
      <c r="HU16" s="27"/>
      <c r="HV16" s="27"/>
      <c r="HW16" s="27"/>
      <c r="HX16" s="27"/>
      <c r="HY16" s="27"/>
      <c r="HZ16" s="27"/>
      <c r="IA16" s="27"/>
      <c r="IB16" s="27"/>
      <c r="IC16" s="27"/>
      <c r="ID16" s="27"/>
      <c r="IE16" s="27"/>
    </row>
    <row r="17" spans="1:239" s="3" customFormat="1" ht="30" customHeight="1" thickBot="1" x14ac:dyDescent="0.35">
      <c r="A17" s="32" t="s">
        <v>10</v>
      </c>
      <c r="B17" s="77" t="s">
        <v>31</v>
      </c>
      <c r="C17" s="77"/>
      <c r="D17" s="17"/>
      <c r="E17" s="46"/>
      <c r="F17" s="47"/>
      <c r="G17" s="14"/>
      <c r="H17" s="14" t="str">
        <f t="shared" si="229"/>
        <v/>
      </c>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68"/>
      <c r="AX17" s="68"/>
      <c r="AY17" s="68"/>
      <c r="AZ17" s="68"/>
      <c r="BA17" s="68"/>
      <c r="BB17" s="68"/>
      <c r="BC17" s="68"/>
      <c r="BD17" s="68"/>
      <c r="BE17" s="68"/>
      <c r="BF17" s="68"/>
      <c r="BG17" s="27"/>
      <c r="BH17" s="27"/>
      <c r="BI17" s="27"/>
      <c r="BJ17" s="27"/>
      <c r="BK17" s="27"/>
      <c r="BL17" s="27"/>
      <c r="BM17" s="27"/>
      <c r="BN17" s="27"/>
      <c r="BO17" s="27"/>
      <c r="BP17" s="87"/>
      <c r="BQ17" s="85"/>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c r="FI17" s="27"/>
      <c r="FJ17" s="27"/>
      <c r="FK17" s="27"/>
      <c r="FL17" s="27"/>
      <c r="FM17" s="27"/>
      <c r="FN17" s="27"/>
      <c r="FO17" s="27"/>
      <c r="FP17" s="27"/>
      <c r="FQ17" s="27"/>
      <c r="FR17" s="27"/>
      <c r="FS17" s="27"/>
      <c r="FT17" s="27"/>
      <c r="FU17" s="27"/>
      <c r="FV17" s="27"/>
      <c r="FW17" s="27"/>
      <c r="FX17" s="27"/>
      <c r="FY17" s="27"/>
      <c r="FZ17" s="27"/>
      <c r="GA17" s="27"/>
      <c r="GB17" s="27"/>
      <c r="GC17" s="27"/>
      <c r="GD17" s="27"/>
      <c r="GE17" s="27"/>
      <c r="GF17" s="27"/>
      <c r="GG17" s="27"/>
      <c r="GH17" s="27"/>
      <c r="GI17" s="27"/>
      <c r="GJ17" s="27"/>
      <c r="GK17" s="27"/>
      <c r="GL17" s="27"/>
      <c r="GM17" s="27"/>
      <c r="GN17" s="27"/>
      <c r="GO17" s="27"/>
      <c r="GP17" s="27"/>
      <c r="GQ17" s="27"/>
      <c r="GR17" s="27"/>
      <c r="GS17" s="27"/>
      <c r="GT17" s="27"/>
      <c r="GU17" s="27"/>
      <c r="GV17" s="27"/>
      <c r="GW17" s="27"/>
      <c r="GX17" s="27"/>
      <c r="GY17" s="27"/>
      <c r="GZ17" s="27"/>
      <c r="HA17" s="27"/>
      <c r="HB17" s="27"/>
      <c r="HC17" s="27"/>
      <c r="HD17" s="27"/>
      <c r="HE17" s="27"/>
      <c r="HF17" s="27"/>
      <c r="HG17" s="27"/>
      <c r="HH17" s="27"/>
      <c r="HI17" s="27"/>
      <c r="HJ17" s="27"/>
      <c r="HK17" s="27"/>
      <c r="HL17" s="27"/>
      <c r="HM17" s="27"/>
      <c r="HN17" s="27"/>
      <c r="HO17" s="27"/>
      <c r="HP17" s="27"/>
      <c r="HQ17" s="27"/>
      <c r="HR17" s="27"/>
      <c r="HS17" s="27"/>
      <c r="HT17" s="27"/>
      <c r="HU17" s="27"/>
      <c r="HV17" s="27"/>
      <c r="HW17" s="27"/>
      <c r="HX17" s="27"/>
      <c r="HY17" s="27"/>
      <c r="HZ17" s="27"/>
      <c r="IA17" s="27"/>
      <c r="IB17" s="27"/>
      <c r="IC17" s="27"/>
      <c r="ID17" s="27"/>
      <c r="IE17" s="27"/>
    </row>
    <row r="18" spans="1:239" s="3" customFormat="1" ht="30" customHeight="1" thickBot="1" x14ac:dyDescent="0.35">
      <c r="A18" s="32"/>
      <c r="B18" s="72" t="s">
        <v>32</v>
      </c>
      <c r="C18" s="72"/>
      <c r="D18" s="18">
        <v>0</v>
      </c>
      <c r="E18" s="48">
        <v>46027</v>
      </c>
      <c r="F18" s="48">
        <f>E19-1</f>
        <v>46038</v>
      </c>
      <c r="G18" s="14"/>
      <c r="H18" s="14">
        <f t="shared" si="229"/>
        <v>12</v>
      </c>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68"/>
      <c r="AX18" s="68"/>
      <c r="AY18" s="68"/>
      <c r="AZ18" s="68"/>
      <c r="BA18" s="68"/>
      <c r="BB18" s="68"/>
      <c r="BC18" s="68"/>
      <c r="BD18" s="68"/>
      <c r="BE18" s="68"/>
      <c r="BF18" s="68"/>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86" t="s">
        <v>58</v>
      </c>
      <c r="CP18" s="85"/>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c r="FI18" s="27"/>
      <c r="FJ18" s="27"/>
      <c r="FK18" s="27"/>
      <c r="FL18" s="27"/>
      <c r="FM18" s="27"/>
      <c r="FN18" s="27"/>
      <c r="FO18" s="27"/>
      <c r="FP18" s="27"/>
      <c r="FQ18" s="27"/>
      <c r="FR18" s="27"/>
      <c r="FS18" s="27"/>
      <c r="FT18" s="27"/>
      <c r="FU18" s="27"/>
      <c r="FV18" s="27"/>
      <c r="FW18" s="27"/>
      <c r="FX18" s="27"/>
      <c r="FY18" s="27"/>
      <c r="FZ18" s="27"/>
      <c r="GA18" s="27"/>
      <c r="GB18" s="27"/>
      <c r="GC18" s="27"/>
      <c r="GD18" s="27"/>
      <c r="GE18" s="27"/>
      <c r="GF18" s="27"/>
      <c r="GG18" s="27"/>
      <c r="GH18" s="27"/>
      <c r="GI18" s="27"/>
      <c r="GJ18" s="27"/>
      <c r="GK18" s="27"/>
      <c r="GL18" s="27"/>
      <c r="GM18" s="27"/>
      <c r="GN18" s="27"/>
      <c r="GO18" s="27"/>
      <c r="GP18" s="27"/>
      <c r="GQ18" s="27"/>
      <c r="GR18" s="27"/>
      <c r="GS18" s="27"/>
      <c r="GT18" s="27"/>
      <c r="GU18" s="27"/>
      <c r="GV18" s="27"/>
      <c r="GW18" s="27"/>
      <c r="GX18" s="27"/>
      <c r="GY18" s="27"/>
      <c r="GZ18" s="27"/>
      <c r="HA18" s="27"/>
      <c r="HB18" s="27"/>
      <c r="HC18" s="27"/>
      <c r="HD18" s="27"/>
      <c r="HE18" s="27"/>
      <c r="HF18" s="27"/>
      <c r="HG18" s="27"/>
      <c r="HH18" s="27"/>
      <c r="HI18" s="27"/>
      <c r="HJ18" s="27"/>
      <c r="HK18" s="27"/>
      <c r="HL18" s="27"/>
      <c r="HM18" s="27"/>
      <c r="HN18" s="27"/>
      <c r="HO18" s="27"/>
      <c r="HP18" s="27"/>
      <c r="HQ18" s="27"/>
      <c r="HR18" s="27"/>
      <c r="HS18" s="27"/>
      <c r="HT18" s="27"/>
      <c r="HU18" s="27"/>
      <c r="HV18" s="27"/>
      <c r="HW18" s="27"/>
      <c r="HX18" s="27"/>
      <c r="HY18" s="27"/>
      <c r="HZ18" s="27"/>
      <c r="IA18" s="27"/>
      <c r="IB18" s="27"/>
      <c r="IC18" s="27"/>
      <c r="ID18" s="27"/>
      <c r="IE18" s="27"/>
    </row>
    <row r="19" spans="1:239" s="3" customFormat="1" ht="30" customHeight="1" thickBot="1" x14ac:dyDescent="0.35">
      <c r="A19" s="31"/>
      <c r="B19" s="72" t="s">
        <v>33</v>
      </c>
      <c r="C19" s="72"/>
      <c r="D19" s="18">
        <v>0</v>
      </c>
      <c r="E19" s="48">
        <f>F19-1</f>
        <v>46039</v>
      </c>
      <c r="F19" s="48">
        <f>E20-1</f>
        <v>46040</v>
      </c>
      <c r="G19" s="14"/>
      <c r="H19" s="14">
        <f t="shared" si="229"/>
        <v>2</v>
      </c>
      <c r="I19" s="27"/>
      <c r="J19" s="27"/>
      <c r="K19" s="27"/>
      <c r="L19" s="27"/>
      <c r="M19" s="27"/>
      <c r="N19" s="27"/>
      <c r="O19" s="27"/>
      <c r="P19" s="27"/>
      <c r="Q19" s="27"/>
      <c r="R19" s="27"/>
      <c r="S19" s="27"/>
      <c r="T19" s="27"/>
      <c r="U19" s="28"/>
      <c r="V19" s="28"/>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68"/>
      <c r="AX19" s="68"/>
      <c r="AY19" s="68"/>
      <c r="AZ19" s="68"/>
      <c r="BA19" s="68"/>
      <c r="BB19" s="68"/>
      <c r="BC19" s="68"/>
      <c r="BD19" s="68"/>
      <c r="BE19" s="68"/>
      <c r="BF19" s="68"/>
      <c r="BG19" s="27"/>
      <c r="BH19" s="27"/>
      <c r="BI19" s="27"/>
      <c r="BJ19" s="27"/>
      <c r="BK19" s="27"/>
      <c r="BL19" s="27"/>
      <c r="BM19" s="27"/>
      <c r="BN19" s="27"/>
      <c r="BO19" s="27"/>
      <c r="BP19" s="27"/>
      <c r="BQ19" s="27"/>
      <c r="BR19" s="27"/>
      <c r="BS19" s="27"/>
      <c r="BT19" s="27"/>
      <c r="BU19" s="27"/>
      <c r="BV19" s="27"/>
      <c r="BW19" s="27"/>
      <c r="BX19" s="27"/>
      <c r="BY19" s="27"/>
      <c r="BZ19" s="27"/>
      <c r="CA19" s="27"/>
      <c r="CB19" s="86" t="s">
        <v>56</v>
      </c>
      <c r="CC19" s="85"/>
      <c r="CD19" s="27"/>
      <c r="CE19" s="27"/>
      <c r="CF19" s="27"/>
      <c r="CG19" s="27"/>
      <c r="CH19" s="27"/>
      <c r="CI19" s="27"/>
      <c r="CJ19" s="27"/>
      <c r="CK19" s="27"/>
      <c r="CL19" s="27"/>
      <c r="CM19" s="27"/>
      <c r="CN19" s="27"/>
      <c r="CO19" s="87"/>
      <c r="CP19" s="85"/>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c r="GE19" s="27"/>
      <c r="GF19" s="27"/>
      <c r="GG19" s="27"/>
      <c r="GH19" s="27"/>
      <c r="GI19" s="27"/>
      <c r="GJ19" s="27"/>
      <c r="GK19" s="27"/>
      <c r="GL19" s="27"/>
      <c r="GM19" s="27"/>
      <c r="GN19" s="27"/>
      <c r="GO19" s="27"/>
      <c r="GP19" s="27"/>
      <c r="GQ19" s="27"/>
      <c r="GR19" s="27"/>
      <c r="GS19" s="27"/>
      <c r="GT19" s="27"/>
      <c r="GU19" s="27"/>
      <c r="GV19" s="27"/>
      <c r="GW19" s="27"/>
      <c r="GX19" s="27"/>
      <c r="GY19" s="27"/>
      <c r="GZ19" s="27"/>
      <c r="HA19" s="27"/>
      <c r="HB19" s="27"/>
      <c r="HC19" s="27"/>
      <c r="HD19" s="27"/>
      <c r="HE19" s="27"/>
      <c r="HF19" s="27"/>
      <c r="HG19" s="27"/>
      <c r="HH19" s="27"/>
      <c r="HI19" s="27"/>
      <c r="HJ19" s="27"/>
      <c r="HK19" s="27"/>
      <c r="HL19" s="27"/>
      <c r="HM19" s="27"/>
      <c r="HN19" s="27"/>
      <c r="HO19" s="27"/>
      <c r="HP19" s="27"/>
      <c r="HQ19" s="27"/>
      <c r="HR19" s="27"/>
      <c r="HS19" s="27"/>
      <c r="HT19" s="27"/>
      <c r="HU19" s="27"/>
      <c r="HV19" s="27"/>
      <c r="HW19" s="27"/>
      <c r="HX19" s="27"/>
      <c r="HY19" s="27"/>
      <c r="HZ19" s="27"/>
      <c r="IA19" s="27"/>
      <c r="IB19" s="27"/>
      <c r="IC19" s="27"/>
      <c r="ID19" s="27"/>
      <c r="IE19" s="27"/>
    </row>
    <row r="20" spans="1:239" s="3" customFormat="1" ht="30" customHeight="1" thickBot="1" x14ac:dyDescent="0.35">
      <c r="A20" s="31"/>
      <c r="B20" s="72" t="s">
        <v>35</v>
      </c>
      <c r="C20" s="72"/>
      <c r="D20" s="18">
        <v>0</v>
      </c>
      <c r="E20" s="48">
        <f>F20-3</f>
        <v>46041</v>
      </c>
      <c r="F20" s="48">
        <f>E21-1</f>
        <v>46044</v>
      </c>
      <c r="G20" s="14"/>
      <c r="H20" s="14">
        <f t="shared" si="229"/>
        <v>4</v>
      </c>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68"/>
      <c r="AX20" s="68"/>
      <c r="AY20" s="68"/>
      <c r="AZ20" s="68"/>
      <c r="BA20" s="68"/>
      <c r="BB20" s="68"/>
      <c r="BC20" s="68"/>
      <c r="BD20" s="68"/>
      <c r="BE20" s="68"/>
      <c r="BF20" s="68"/>
      <c r="BG20" s="27"/>
      <c r="BH20" s="27"/>
      <c r="BI20" s="27"/>
      <c r="BJ20" s="27"/>
      <c r="BK20" s="27"/>
      <c r="BL20" s="27"/>
      <c r="BM20" s="27"/>
      <c r="BN20" s="27"/>
      <c r="BO20" s="27"/>
      <c r="BP20" s="27"/>
      <c r="BQ20" s="27"/>
      <c r="BR20" s="27"/>
      <c r="BS20" s="27"/>
      <c r="BT20" s="27"/>
      <c r="BU20" s="27"/>
      <c r="BV20" s="27"/>
      <c r="BW20" s="27"/>
      <c r="BX20" s="27"/>
      <c r="BY20" s="27"/>
      <c r="BZ20" s="27"/>
      <c r="CA20" s="27"/>
      <c r="CB20" s="87"/>
      <c r="CC20" s="85"/>
      <c r="CD20" s="27"/>
      <c r="CE20" s="27"/>
      <c r="CF20" s="27"/>
      <c r="CG20" s="27"/>
      <c r="CH20" s="27"/>
      <c r="CI20" s="27"/>
      <c r="CJ20" s="65"/>
      <c r="CK20" s="85"/>
      <c r="CL20" s="27"/>
      <c r="CM20" s="27"/>
      <c r="CN20" s="27"/>
      <c r="CO20" s="86" t="s">
        <v>55</v>
      </c>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27"/>
      <c r="FF20" s="27"/>
      <c r="FG20" s="27"/>
      <c r="FH20" s="27"/>
      <c r="FI20" s="27"/>
      <c r="FJ20" s="27"/>
      <c r="FK20" s="27"/>
      <c r="FL20" s="27"/>
      <c r="FM20" s="27"/>
      <c r="FN20" s="27"/>
      <c r="FO20" s="27"/>
      <c r="FP20" s="27"/>
      <c r="FQ20" s="27"/>
      <c r="FR20" s="27"/>
      <c r="FS20" s="27"/>
      <c r="FT20" s="27"/>
      <c r="FU20" s="27"/>
      <c r="FV20" s="27"/>
      <c r="FW20" s="27"/>
      <c r="FX20" s="27"/>
      <c r="FY20" s="27"/>
      <c r="FZ20" s="27"/>
      <c r="GA20" s="27"/>
      <c r="GB20" s="27"/>
      <c r="GC20" s="27"/>
      <c r="GD20" s="27"/>
      <c r="GE20" s="27"/>
      <c r="GF20" s="27"/>
      <c r="GG20" s="27"/>
      <c r="GH20" s="27"/>
      <c r="GI20" s="27"/>
      <c r="GJ20" s="27"/>
      <c r="GK20" s="27"/>
      <c r="GL20" s="27"/>
      <c r="GM20" s="27"/>
      <c r="GN20" s="27"/>
      <c r="GO20" s="27"/>
      <c r="GP20" s="27"/>
      <c r="GQ20" s="27"/>
      <c r="GR20" s="27"/>
      <c r="GS20" s="27"/>
      <c r="GT20" s="27"/>
      <c r="GU20" s="27"/>
      <c r="GV20" s="27"/>
      <c r="GW20" s="27"/>
      <c r="GX20" s="27"/>
      <c r="GY20" s="27"/>
      <c r="GZ20" s="27"/>
      <c r="HA20" s="27"/>
      <c r="HB20" s="27"/>
      <c r="HC20" s="27"/>
      <c r="HD20" s="27"/>
      <c r="HE20" s="27"/>
      <c r="HF20" s="27"/>
      <c r="HG20" s="27"/>
      <c r="HH20" s="27"/>
      <c r="HI20" s="27"/>
      <c r="HJ20" s="27"/>
      <c r="HK20" s="27"/>
      <c r="HL20" s="27"/>
      <c r="HM20" s="27"/>
      <c r="HN20" s="27"/>
      <c r="HO20" s="27"/>
      <c r="HP20" s="27"/>
      <c r="HQ20" s="27"/>
      <c r="HR20" s="27"/>
      <c r="HS20" s="27"/>
      <c r="HT20" s="27"/>
      <c r="HU20" s="27"/>
      <c r="HV20" s="27"/>
      <c r="HW20" s="27"/>
      <c r="HX20" s="27"/>
      <c r="HY20" s="27"/>
      <c r="HZ20" s="27"/>
      <c r="IA20" s="27"/>
      <c r="IB20" s="27"/>
      <c r="IC20" s="27"/>
      <c r="ID20" s="27"/>
      <c r="IE20" s="27"/>
    </row>
    <row r="21" spans="1:239" s="3" customFormat="1" ht="30" customHeight="1" thickBot="1" x14ac:dyDescent="0.35">
      <c r="A21" s="31"/>
      <c r="B21" s="72" t="s">
        <v>36</v>
      </c>
      <c r="C21" s="72"/>
      <c r="D21" s="18">
        <v>0</v>
      </c>
      <c r="E21" s="48">
        <f>E22-2</f>
        <v>46045</v>
      </c>
      <c r="F21" s="48">
        <f>F22-2</f>
        <v>46054</v>
      </c>
      <c r="G21" s="14"/>
      <c r="H21" s="14">
        <f t="shared" si="229"/>
        <v>10</v>
      </c>
      <c r="I21" s="27"/>
      <c r="J21" s="27"/>
      <c r="K21" s="27"/>
      <c r="L21" s="27"/>
      <c r="M21" s="27"/>
      <c r="N21" s="27"/>
      <c r="O21" s="27"/>
      <c r="P21" s="27"/>
      <c r="Q21" s="27"/>
      <c r="R21" s="27"/>
      <c r="S21" s="27"/>
      <c r="T21" s="27"/>
      <c r="U21" s="27"/>
      <c r="V21" s="27"/>
      <c r="W21" s="27"/>
      <c r="X21" s="27"/>
      <c r="Y21" s="28"/>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68"/>
      <c r="AX21" s="68"/>
      <c r="AY21" s="68"/>
      <c r="AZ21" s="68"/>
      <c r="BA21" s="68"/>
      <c r="BB21" s="68"/>
      <c r="BC21" s="68"/>
      <c r="BD21" s="68"/>
      <c r="BE21" s="68"/>
      <c r="BF21" s="68"/>
      <c r="BG21" s="27"/>
      <c r="BH21" s="27"/>
      <c r="BI21" s="27"/>
      <c r="BJ21" s="27"/>
      <c r="BK21" s="27"/>
      <c r="BL21" s="27"/>
      <c r="BM21" s="27"/>
      <c r="BN21" s="27"/>
      <c r="BO21" s="27"/>
      <c r="BP21" s="27"/>
      <c r="BQ21" s="27"/>
      <c r="BR21" s="27"/>
      <c r="BS21" s="27"/>
      <c r="BT21" s="27"/>
      <c r="BU21" s="27"/>
      <c r="BV21" s="27"/>
      <c r="BW21" s="27"/>
      <c r="BX21" s="27"/>
      <c r="BY21" s="27"/>
      <c r="BZ21" s="27"/>
      <c r="CA21" s="27"/>
      <c r="CB21" s="87"/>
      <c r="CC21" s="85"/>
      <c r="CD21" s="27"/>
      <c r="CE21" s="27"/>
      <c r="CF21" s="27"/>
      <c r="CG21" s="27"/>
      <c r="CH21" s="27"/>
      <c r="CI21" s="27"/>
      <c r="CJ21" s="65"/>
      <c r="CK21" s="85"/>
      <c r="CL21" s="27"/>
      <c r="CM21" s="27"/>
      <c r="CN21" s="27"/>
      <c r="CO21" s="87"/>
      <c r="CP21" s="85"/>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FO21" s="27"/>
      <c r="FP21" s="27"/>
      <c r="FQ21" s="27"/>
      <c r="FR21" s="27"/>
      <c r="FS21" s="27"/>
      <c r="FT21" s="27"/>
      <c r="FU21" s="27"/>
      <c r="FV21" s="27"/>
      <c r="FW21" s="27"/>
      <c r="FX21" s="27"/>
      <c r="FY21" s="27"/>
      <c r="FZ21" s="27"/>
      <c r="GA21" s="27"/>
      <c r="GB21" s="27"/>
      <c r="GC21" s="27"/>
      <c r="GD21" s="27"/>
      <c r="GE21" s="27"/>
      <c r="GF21" s="27"/>
      <c r="GG21" s="27"/>
      <c r="GH21" s="27"/>
      <c r="GI21" s="27"/>
      <c r="GJ21" s="27"/>
      <c r="GK21" s="27"/>
      <c r="GL21" s="27"/>
      <c r="GM21" s="27"/>
      <c r="GN21" s="27"/>
      <c r="GO21" s="27"/>
      <c r="GP21" s="27"/>
      <c r="GQ21" s="27"/>
      <c r="GR21" s="27"/>
      <c r="GS21" s="27"/>
      <c r="GT21" s="27"/>
      <c r="GU21" s="27"/>
      <c r="GV21" s="27"/>
      <c r="GW21" s="27"/>
      <c r="GX21" s="27"/>
      <c r="GY21" s="27"/>
      <c r="GZ21" s="27"/>
      <c r="HA21" s="27"/>
      <c r="HB21" s="27"/>
      <c r="HC21" s="27"/>
      <c r="HD21" s="27"/>
      <c r="HE21" s="27"/>
      <c r="HF21" s="27"/>
      <c r="HG21" s="27"/>
      <c r="HH21" s="27"/>
      <c r="HI21" s="27"/>
      <c r="HJ21" s="27"/>
      <c r="HK21" s="27"/>
      <c r="HL21" s="27"/>
      <c r="HM21" s="27"/>
      <c r="HN21" s="27"/>
      <c r="HO21" s="27"/>
      <c r="HP21" s="27"/>
      <c r="HQ21" s="27"/>
      <c r="HR21" s="27"/>
      <c r="HS21" s="27"/>
      <c r="HT21" s="27"/>
      <c r="HU21" s="27"/>
      <c r="HV21" s="27"/>
      <c r="HW21" s="27"/>
      <c r="HX21" s="27"/>
      <c r="HY21" s="27"/>
      <c r="HZ21" s="27"/>
      <c r="IA21" s="27"/>
      <c r="IB21" s="27"/>
      <c r="IC21" s="27"/>
      <c r="ID21" s="27"/>
      <c r="IE21" s="27"/>
    </row>
    <row r="22" spans="1:239" s="3" customFormat="1" ht="30" customHeight="1" thickBot="1" x14ac:dyDescent="0.35">
      <c r="A22" s="31"/>
      <c r="B22" s="72" t="s">
        <v>37</v>
      </c>
      <c r="C22" s="72"/>
      <c r="D22" s="18">
        <v>0</v>
      </c>
      <c r="E22" s="48">
        <f>F22-9</f>
        <v>46047</v>
      </c>
      <c r="F22" s="48">
        <f>E23</f>
        <v>46056</v>
      </c>
      <c r="G22" s="14"/>
      <c r="H22" s="14"/>
      <c r="I22" s="27"/>
      <c r="J22" s="27"/>
      <c r="K22" s="27"/>
      <c r="L22" s="27"/>
      <c r="M22" s="27"/>
      <c r="N22" s="27"/>
      <c r="O22" s="27"/>
      <c r="P22" s="27"/>
      <c r="Q22" s="27"/>
      <c r="R22" s="27"/>
      <c r="S22" s="27"/>
      <c r="T22" s="27"/>
      <c r="U22" s="27"/>
      <c r="V22" s="27"/>
      <c r="W22" s="27"/>
      <c r="X22" s="27"/>
      <c r="Y22" s="28"/>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68"/>
      <c r="AX22" s="68"/>
      <c r="AY22" s="68"/>
      <c r="AZ22" s="68"/>
      <c r="BA22" s="68"/>
      <c r="BB22" s="68"/>
      <c r="BC22" s="68"/>
      <c r="BD22" s="68"/>
      <c r="BE22" s="68"/>
      <c r="BF22" s="68"/>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86" t="s">
        <v>57</v>
      </c>
      <c r="CK22" s="85"/>
      <c r="CL22" s="27"/>
      <c r="CM22" s="27"/>
      <c r="CN22" s="27"/>
      <c r="CO22" s="87"/>
      <c r="CP22" s="85"/>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c r="FI22" s="27"/>
      <c r="FJ22" s="27"/>
      <c r="FK22" s="27"/>
      <c r="FL22" s="27"/>
      <c r="FM22" s="27"/>
      <c r="FN22" s="27"/>
      <c r="FO22" s="27"/>
      <c r="FP22" s="27"/>
      <c r="FQ22" s="27"/>
      <c r="FR22" s="27"/>
      <c r="FS22" s="27"/>
      <c r="FT22" s="27"/>
      <c r="FU22" s="27"/>
      <c r="FV22" s="27"/>
      <c r="FW22" s="27"/>
      <c r="FX22" s="27"/>
      <c r="FY22" s="27"/>
      <c r="FZ22" s="27"/>
      <c r="GA22" s="27"/>
      <c r="GB22" s="27"/>
      <c r="GC22" s="27"/>
      <c r="GD22" s="27"/>
      <c r="GE22" s="27"/>
      <c r="GF22" s="27"/>
      <c r="GG22" s="27"/>
      <c r="GH22" s="27"/>
      <c r="GI22" s="27"/>
      <c r="GJ22" s="27"/>
      <c r="GK22" s="27"/>
      <c r="GL22" s="27"/>
      <c r="GM22" s="27"/>
      <c r="GN22" s="27"/>
      <c r="GO22" s="27"/>
      <c r="GP22" s="27"/>
      <c r="GQ22" s="27"/>
      <c r="GR22" s="27"/>
      <c r="GS22" s="27"/>
      <c r="GT22" s="27"/>
      <c r="GU22" s="27"/>
      <c r="GV22" s="27"/>
      <c r="GW22" s="27"/>
      <c r="GX22" s="27"/>
      <c r="GY22" s="27"/>
      <c r="GZ22" s="27"/>
      <c r="HA22" s="27"/>
      <c r="HB22" s="27"/>
      <c r="HC22" s="27"/>
      <c r="HD22" s="27"/>
      <c r="HE22" s="27"/>
      <c r="HF22" s="27"/>
      <c r="HG22" s="27"/>
      <c r="HH22" s="27"/>
      <c r="HI22" s="27"/>
      <c r="HJ22" s="27"/>
      <c r="HK22" s="27"/>
      <c r="HL22" s="27"/>
      <c r="HM22" s="27"/>
      <c r="HN22" s="27"/>
      <c r="HO22" s="27"/>
      <c r="HP22" s="27"/>
      <c r="HQ22" s="27"/>
      <c r="HR22" s="27"/>
      <c r="HS22" s="27"/>
      <c r="HT22" s="27"/>
      <c r="HU22" s="27"/>
      <c r="HV22" s="27"/>
      <c r="HW22" s="27"/>
      <c r="HX22" s="27"/>
      <c r="HY22" s="27"/>
      <c r="HZ22" s="27"/>
      <c r="IA22" s="27"/>
      <c r="IB22" s="27"/>
      <c r="IC22" s="27"/>
      <c r="ID22" s="27"/>
      <c r="IE22" s="27"/>
    </row>
    <row r="23" spans="1:239" s="3" customFormat="1" ht="30" customHeight="1" thickBot="1" x14ac:dyDescent="0.35">
      <c r="A23" s="31"/>
      <c r="B23" s="72" t="s">
        <v>38</v>
      </c>
      <c r="C23" s="72"/>
      <c r="D23" s="18">
        <v>0</v>
      </c>
      <c r="E23" s="48">
        <f>F23-3</f>
        <v>46056</v>
      </c>
      <c r="F23" s="48">
        <f>E24-2</f>
        <v>46059</v>
      </c>
      <c r="G23" s="14"/>
      <c r="H23" s="14">
        <f t="shared" si="229"/>
        <v>4</v>
      </c>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68"/>
      <c r="AX23" s="68"/>
      <c r="AY23" s="68"/>
      <c r="AZ23" s="68"/>
      <c r="BA23" s="68"/>
      <c r="BB23" s="68"/>
      <c r="BC23" s="68"/>
      <c r="BD23" s="68"/>
      <c r="BE23" s="68"/>
      <c r="BF23" s="68"/>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87"/>
      <c r="CK23" s="85"/>
      <c r="CL23" s="27"/>
      <c r="CM23" s="27"/>
      <c r="CN23" s="27"/>
      <c r="CO23" s="65"/>
      <c r="CP23" s="88"/>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c r="GB23" s="27"/>
      <c r="GC23" s="27"/>
      <c r="GD23" s="27"/>
      <c r="GE23" s="27"/>
      <c r="GF23" s="27"/>
      <c r="GG23" s="27"/>
      <c r="GH23" s="27"/>
      <c r="GI23" s="27"/>
      <c r="GJ23" s="27"/>
      <c r="GK23" s="27"/>
      <c r="GL23" s="27"/>
      <c r="GM23" s="27"/>
      <c r="GN23" s="27"/>
      <c r="GO23" s="27"/>
      <c r="GP23" s="27"/>
      <c r="GQ23" s="27"/>
      <c r="GR23" s="27"/>
      <c r="GS23" s="27"/>
      <c r="GT23" s="27"/>
      <c r="GU23" s="27"/>
      <c r="GV23" s="27"/>
      <c r="GW23" s="27"/>
      <c r="GX23" s="27"/>
      <c r="GY23" s="27"/>
      <c r="GZ23" s="27"/>
      <c r="HA23" s="27"/>
      <c r="HB23" s="27"/>
      <c r="HC23" s="27"/>
      <c r="HD23" s="27"/>
      <c r="HE23" s="27"/>
      <c r="HF23" s="27"/>
      <c r="HG23" s="27"/>
      <c r="HH23" s="27"/>
      <c r="HI23" s="27"/>
      <c r="HJ23" s="27"/>
      <c r="HK23" s="27"/>
      <c r="HL23" s="27"/>
      <c r="HM23" s="27"/>
      <c r="HN23" s="27"/>
      <c r="HO23" s="27"/>
      <c r="HP23" s="27"/>
      <c r="HQ23" s="27"/>
      <c r="HR23" s="27"/>
      <c r="HS23" s="27"/>
      <c r="HT23" s="27"/>
      <c r="HU23" s="27"/>
      <c r="HV23" s="27"/>
      <c r="HW23" s="27"/>
      <c r="HX23" s="27"/>
      <c r="HY23" s="27"/>
      <c r="HZ23" s="27"/>
      <c r="IA23" s="27"/>
      <c r="IB23" s="27"/>
      <c r="IC23" s="27"/>
      <c r="ID23" s="27"/>
      <c r="IE23" s="27"/>
    </row>
    <row r="24" spans="1:239" s="3" customFormat="1" ht="30" customHeight="1" thickBot="1" x14ac:dyDescent="0.35">
      <c r="A24" s="31"/>
      <c r="B24" s="72" t="s">
        <v>39</v>
      </c>
      <c r="C24" s="72"/>
      <c r="D24" s="18">
        <v>0</v>
      </c>
      <c r="E24" s="48">
        <f>E25</f>
        <v>46061</v>
      </c>
      <c r="F24" s="48">
        <f>E24+7</f>
        <v>46068</v>
      </c>
      <c r="G24" s="14"/>
      <c r="H24" s="14"/>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68"/>
      <c r="AX24" s="68"/>
      <c r="AY24" s="68"/>
      <c r="AZ24" s="68"/>
      <c r="BA24" s="68"/>
      <c r="BB24" s="68"/>
      <c r="BC24" s="68"/>
      <c r="BD24" s="68"/>
      <c r="BE24" s="68"/>
      <c r="BF24" s="68"/>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87"/>
      <c r="CP24" s="85"/>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c r="FA24" s="27"/>
      <c r="FB24" s="27"/>
      <c r="FC24" s="27"/>
      <c r="FD24" s="27"/>
      <c r="FE24" s="27"/>
      <c r="FF24" s="27"/>
      <c r="FG24" s="27"/>
      <c r="FH24" s="27"/>
      <c r="FI24" s="27"/>
      <c r="FJ24" s="27"/>
      <c r="FK24" s="27"/>
      <c r="FL24" s="27"/>
      <c r="FM24" s="27"/>
      <c r="FN24" s="27"/>
      <c r="FO24" s="27"/>
      <c r="FP24" s="27"/>
      <c r="FQ24" s="27"/>
      <c r="FR24" s="27"/>
      <c r="FS24" s="27"/>
      <c r="FT24" s="27"/>
      <c r="FU24" s="27"/>
      <c r="FV24" s="27"/>
      <c r="FW24" s="27"/>
      <c r="FX24" s="27"/>
      <c r="FY24" s="27"/>
      <c r="FZ24" s="27"/>
      <c r="GA24" s="27"/>
      <c r="GB24" s="27"/>
      <c r="GC24" s="27"/>
      <c r="GD24" s="27"/>
      <c r="GE24" s="27"/>
      <c r="GF24" s="27"/>
      <c r="GG24" s="27"/>
      <c r="GH24" s="27"/>
      <c r="GI24" s="27"/>
      <c r="GJ24" s="27"/>
      <c r="GK24" s="27"/>
      <c r="GL24" s="27"/>
      <c r="GM24" s="27"/>
      <c r="GN24" s="27"/>
      <c r="GO24" s="27"/>
      <c r="GP24" s="27"/>
      <c r="GQ24" s="27"/>
      <c r="GR24" s="27"/>
      <c r="GS24" s="27"/>
      <c r="GT24" s="27"/>
      <c r="GU24" s="27"/>
      <c r="GV24" s="27"/>
      <c r="GW24" s="27"/>
      <c r="GX24" s="27"/>
      <c r="GY24" s="27"/>
      <c r="GZ24" s="27"/>
      <c r="HA24" s="27"/>
      <c r="HB24" s="27"/>
      <c r="HC24" s="27"/>
      <c r="HD24" s="27"/>
      <c r="HE24" s="27"/>
      <c r="HF24" s="27"/>
      <c r="HG24" s="27"/>
      <c r="HH24" s="27"/>
      <c r="HI24" s="27"/>
      <c r="HJ24" s="27"/>
      <c r="HK24" s="27"/>
      <c r="HL24" s="27"/>
      <c r="HM24" s="27"/>
      <c r="HN24" s="27"/>
      <c r="HO24" s="27"/>
      <c r="HP24" s="27"/>
      <c r="HQ24" s="27"/>
      <c r="HR24" s="27"/>
      <c r="HS24" s="27"/>
      <c r="HT24" s="27"/>
      <c r="HU24" s="27"/>
      <c r="HV24" s="27"/>
      <c r="HW24" s="27"/>
      <c r="HX24" s="27"/>
      <c r="HY24" s="27"/>
      <c r="HZ24" s="27"/>
      <c r="IA24" s="27"/>
      <c r="IB24" s="27"/>
      <c r="IC24" s="27"/>
      <c r="ID24" s="27"/>
      <c r="IE24" s="27"/>
    </row>
    <row r="25" spans="1:239" s="3" customFormat="1" ht="30" customHeight="1" thickBot="1" x14ac:dyDescent="0.35">
      <c r="A25" s="31"/>
      <c r="B25" s="72" t="s">
        <v>40</v>
      </c>
      <c r="C25" s="72"/>
      <c r="D25" s="18">
        <v>0</v>
      </c>
      <c r="E25" s="48">
        <f>E26-1</f>
        <v>46061</v>
      </c>
      <c r="F25" s="48">
        <f>E28</f>
        <v>46075</v>
      </c>
      <c r="G25" s="14"/>
      <c r="H25" s="14"/>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68"/>
      <c r="AX25" s="68"/>
      <c r="AY25" s="68"/>
      <c r="AZ25" s="68"/>
      <c r="BA25" s="68"/>
      <c r="BB25" s="68"/>
      <c r="BC25" s="68"/>
      <c r="BD25" s="68"/>
      <c r="BE25" s="68"/>
      <c r="BF25" s="68"/>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27"/>
      <c r="FF25" s="27"/>
      <c r="FG25" s="27"/>
      <c r="FH25" s="27"/>
      <c r="FI25" s="27"/>
      <c r="FJ25" s="27"/>
      <c r="FK25" s="27"/>
      <c r="FL25" s="27"/>
      <c r="FM25" s="27"/>
      <c r="FN25" s="27"/>
      <c r="FO25" s="27"/>
      <c r="FP25" s="27"/>
      <c r="FQ25" s="27"/>
      <c r="FR25" s="27"/>
      <c r="FS25" s="27"/>
      <c r="FT25" s="27"/>
      <c r="FU25" s="27"/>
      <c r="FV25" s="27"/>
      <c r="FW25" s="27"/>
      <c r="FX25" s="27"/>
      <c r="FY25" s="27"/>
      <c r="FZ25" s="27"/>
      <c r="GA25" s="27"/>
      <c r="GB25" s="27"/>
      <c r="GC25" s="27"/>
      <c r="GD25" s="27"/>
      <c r="GE25" s="27"/>
      <c r="GF25" s="27"/>
      <c r="GG25" s="27"/>
      <c r="GH25" s="27"/>
      <c r="GI25" s="27"/>
      <c r="GJ25" s="27"/>
      <c r="GK25" s="27"/>
      <c r="GL25" s="27"/>
      <c r="GM25" s="27"/>
      <c r="GN25" s="27"/>
      <c r="GO25" s="27"/>
      <c r="GP25" s="27"/>
      <c r="GQ25" s="27"/>
      <c r="GR25" s="27"/>
      <c r="GS25" s="27"/>
      <c r="GT25" s="27"/>
      <c r="GU25" s="27"/>
      <c r="GV25" s="27"/>
      <c r="GW25" s="27"/>
      <c r="GX25" s="27"/>
      <c r="GY25" s="27"/>
      <c r="GZ25" s="27"/>
      <c r="HA25" s="27"/>
      <c r="HB25" s="27"/>
      <c r="HC25" s="27"/>
      <c r="HD25" s="27"/>
      <c r="HE25" s="27"/>
      <c r="HF25" s="27"/>
      <c r="HG25" s="27"/>
      <c r="HH25" s="27"/>
      <c r="HI25" s="27"/>
      <c r="HJ25" s="27"/>
      <c r="HK25" s="27"/>
      <c r="HL25" s="27"/>
      <c r="HM25" s="27"/>
      <c r="HN25" s="27"/>
      <c r="HO25" s="27"/>
      <c r="HP25" s="27"/>
      <c r="HQ25" s="27"/>
      <c r="HR25" s="27"/>
      <c r="HS25" s="27"/>
      <c r="HT25" s="27"/>
      <c r="HU25" s="27"/>
      <c r="HV25" s="27"/>
      <c r="HW25" s="27"/>
      <c r="HX25" s="27"/>
      <c r="HY25" s="27"/>
      <c r="HZ25" s="27"/>
      <c r="IA25" s="27"/>
      <c r="IB25" s="27"/>
      <c r="IC25" s="27"/>
      <c r="ID25" s="27"/>
      <c r="IE25" s="27"/>
    </row>
    <row r="26" spans="1:239" s="3" customFormat="1" ht="30" customHeight="1" thickBot="1" x14ac:dyDescent="0.35">
      <c r="A26" s="31"/>
      <c r="B26" s="72" t="s">
        <v>41</v>
      </c>
      <c r="C26" s="72"/>
      <c r="D26" s="18">
        <v>0</v>
      </c>
      <c r="E26" s="48">
        <f>F26-5</f>
        <v>46062</v>
      </c>
      <c r="F26" s="48">
        <f>E27+1</f>
        <v>46067</v>
      </c>
      <c r="G26" s="14"/>
      <c r="H26" s="14"/>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68"/>
      <c r="AX26" s="68"/>
      <c r="AY26" s="68"/>
      <c r="AZ26" s="68"/>
      <c r="BA26" s="68"/>
      <c r="BB26" s="68"/>
      <c r="BC26" s="68"/>
      <c r="BD26" s="68"/>
      <c r="BE26" s="68"/>
      <c r="BF26" s="68"/>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86" t="s">
        <v>59</v>
      </c>
      <c r="CU26" s="85"/>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c r="FI26" s="27"/>
      <c r="FJ26" s="27"/>
      <c r="FK26" s="27"/>
      <c r="FL26" s="27"/>
      <c r="FM26" s="27"/>
      <c r="FN26" s="27"/>
      <c r="FO26" s="27"/>
      <c r="FP26" s="27"/>
      <c r="FQ26" s="27"/>
      <c r="FR26" s="27"/>
      <c r="FS26" s="27"/>
      <c r="FT26" s="27"/>
      <c r="FU26" s="27"/>
      <c r="FV26" s="27"/>
      <c r="FW26" s="27"/>
      <c r="FX26" s="27"/>
      <c r="FY26" s="27"/>
      <c r="FZ26" s="27"/>
      <c r="GA26" s="27"/>
      <c r="GB26" s="27"/>
      <c r="GC26" s="27"/>
      <c r="GD26" s="27"/>
      <c r="GE26" s="27"/>
      <c r="GF26" s="27"/>
      <c r="GG26" s="27"/>
      <c r="GH26" s="27"/>
      <c r="GI26" s="27"/>
      <c r="GJ26" s="27"/>
      <c r="GK26" s="27"/>
      <c r="GL26" s="27"/>
      <c r="GM26" s="27"/>
      <c r="GN26" s="27"/>
      <c r="GO26" s="27"/>
      <c r="GP26" s="27"/>
      <c r="GQ26" s="27"/>
      <c r="GR26" s="27"/>
      <c r="GS26" s="27"/>
      <c r="GT26" s="27"/>
      <c r="GU26" s="27"/>
      <c r="GV26" s="27"/>
      <c r="GW26" s="27"/>
      <c r="GX26" s="27"/>
      <c r="GY26" s="27"/>
      <c r="GZ26" s="27"/>
      <c r="HA26" s="27"/>
      <c r="HB26" s="27"/>
      <c r="HC26" s="27"/>
      <c r="HD26" s="27"/>
      <c r="HE26" s="27"/>
      <c r="HF26" s="27"/>
      <c r="HG26" s="27"/>
      <c r="HH26" s="27"/>
      <c r="HI26" s="27"/>
      <c r="HJ26" s="27"/>
      <c r="HK26" s="27"/>
      <c r="HL26" s="27"/>
      <c r="HM26" s="27"/>
      <c r="HN26" s="27"/>
      <c r="HO26" s="27"/>
      <c r="HP26" s="27"/>
      <c r="HQ26" s="27"/>
      <c r="HR26" s="27"/>
      <c r="HS26" s="27"/>
      <c r="HT26" s="27"/>
      <c r="HU26" s="27"/>
      <c r="HV26" s="27"/>
      <c r="HW26" s="27"/>
      <c r="HX26" s="27"/>
      <c r="HY26" s="27"/>
      <c r="HZ26" s="27"/>
      <c r="IA26" s="27"/>
      <c r="IB26" s="27"/>
      <c r="IC26" s="27"/>
      <c r="ID26" s="27"/>
      <c r="IE26" s="27"/>
    </row>
    <row r="27" spans="1:239" s="3" customFormat="1" ht="30" customHeight="1" thickBot="1" x14ac:dyDescent="0.35">
      <c r="A27" s="31"/>
      <c r="B27" s="72" t="s">
        <v>42</v>
      </c>
      <c r="C27" s="72"/>
      <c r="D27" s="18">
        <v>0</v>
      </c>
      <c r="E27" s="48">
        <f>F27-2</f>
        <v>46066</v>
      </c>
      <c r="F27" s="48">
        <f>E28-7</f>
        <v>46068</v>
      </c>
      <c r="G27" s="14"/>
      <c r="H27" s="14"/>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68"/>
      <c r="AX27" s="68"/>
      <c r="AY27" s="68"/>
      <c r="AZ27" s="68"/>
      <c r="BA27" s="68"/>
      <c r="BB27" s="68"/>
      <c r="BC27" s="68"/>
      <c r="BD27" s="68"/>
      <c r="BE27" s="68"/>
      <c r="BF27" s="68"/>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87"/>
      <c r="CU27" s="85"/>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c r="GB27" s="27"/>
      <c r="GC27" s="27"/>
      <c r="GD27" s="27"/>
      <c r="GE27" s="27"/>
      <c r="GF27" s="27"/>
      <c r="GG27" s="27"/>
      <c r="GH27" s="27"/>
      <c r="GI27" s="27"/>
      <c r="GJ27" s="27"/>
      <c r="GK27" s="27"/>
      <c r="GL27" s="27"/>
      <c r="GM27" s="27"/>
      <c r="GN27" s="27"/>
      <c r="GO27" s="27"/>
      <c r="GP27" s="27"/>
      <c r="GQ27" s="27"/>
      <c r="GR27" s="27"/>
      <c r="GS27" s="27"/>
      <c r="GT27" s="27"/>
      <c r="GU27" s="27"/>
      <c r="GV27" s="27"/>
      <c r="GW27" s="27"/>
      <c r="GX27" s="27"/>
      <c r="GY27" s="27"/>
      <c r="GZ27" s="27"/>
      <c r="HA27" s="27"/>
      <c r="HB27" s="27"/>
      <c r="HC27" s="27"/>
      <c r="HD27" s="27"/>
      <c r="HE27" s="27"/>
      <c r="HF27" s="27"/>
      <c r="HG27" s="27"/>
      <c r="HH27" s="27"/>
      <c r="HI27" s="27"/>
      <c r="HJ27" s="27"/>
      <c r="HK27" s="27"/>
      <c r="HL27" s="27"/>
      <c r="HM27" s="27"/>
      <c r="HN27" s="27"/>
      <c r="HO27" s="27"/>
      <c r="HP27" s="27"/>
      <c r="HQ27" s="27"/>
      <c r="HR27" s="27"/>
      <c r="HS27" s="27"/>
      <c r="HT27" s="27"/>
      <c r="HU27" s="27"/>
      <c r="HV27" s="27"/>
      <c r="HW27" s="27"/>
      <c r="HX27" s="27"/>
      <c r="HY27" s="27"/>
      <c r="HZ27" s="27"/>
      <c r="IA27" s="27"/>
      <c r="IB27" s="27"/>
      <c r="IC27" s="27"/>
      <c r="ID27" s="27"/>
      <c r="IE27" s="27"/>
    </row>
    <row r="28" spans="1:239" s="3" customFormat="1" ht="30" customHeight="1" thickBot="1" x14ac:dyDescent="0.35">
      <c r="A28" s="31"/>
      <c r="B28" s="72" t="s">
        <v>43</v>
      </c>
      <c r="C28" s="72"/>
      <c r="D28" s="18">
        <v>0</v>
      </c>
      <c r="E28" s="48">
        <f>F28-7</f>
        <v>46075</v>
      </c>
      <c r="F28" s="48">
        <v>46082</v>
      </c>
      <c r="G28" s="14"/>
      <c r="H28" s="14"/>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68"/>
      <c r="AX28" s="68"/>
      <c r="AY28" s="68"/>
      <c r="AZ28" s="68"/>
      <c r="BA28" s="68"/>
      <c r="BB28" s="68"/>
      <c r="BC28" s="68"/>
      <c r="BD28" s="68"/>
      <c r="BE28" s="68"/>
      <c r="BF28" s="68"/>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27"/>
      <c r="FF28" s="27"/>
      <c r="FG28" s="27"/>
      <c r="FH28" s="27"/>
      <c r="FI28" s="27"/>
      <c r="FJ28" s="27"/>
      <c r="FK28" s="27"/>
      <c r="FL28" s="27"/>
      <c r="FM28" s="27"/>
      <c r="FN28" s="27"/>
      <c r="FO28" s="27"/>
      <c r="FP28" s="27"/>
      <c r="FQ28" s="27"/>
      <c r="FR28" s="27"/>
      <c r="FS28" s="27"/>
      <c r="FT28" s="27"/>
      <c r="FU28" s="27"/>
      <c r="FV28" s="27"/>
      <c r="FW28" s="27"/>
      <c r="FX28" s="27"/>
      <c r="FY28" s="27"/>
      <c r="FZ28" s="27"/>
      <c r="GA28" s="27"/>
      <c r="GB28" s="27"/>
      <c r="GC28" s="27"/>
      <c r="GD28" s="27"/>
      <c r="GE28" s="27"/>
      <c r="GF28" s="27"/>
      <c r="GG28" s="27"/>
      <c r="GH28" s="27"/>
      <c r="GI28" s="27"/>
      <c r="GJ28" s="27"/>
      <c r="GK28" s="27"/>
      <c r="GL28" s="27"/>
      <c r="GM28" s="27"/>
      <c r="GN28" s="27"/>
      <c r="GO28" s="27"/>
      <c r="GP28" s="27"/>
      <c r="GQ28" s="27"/>
      <c r="GR28" s="27"/>
      <c r="GS28" s="27"/>
      <c r="GT28" s="27"/>
      <c r="GU28" s="27"/>
      <c r="GV28" s="27"/>
      <c r="GW28" s="27"/>
      <c r="GX28" s="27"/>
      <c r="GY28" s="27"/>
      <c r="GZ28" s="27"/>
      <c r="HA28" s="27"/>
      <c r="HB28" s="27"/>
      <c r="HC28" s="27"/>
      <c r="HD28" s="27"/>
      <c r="HE28" s="27"/>
      <c r="HF28" s="27"/>
      <c r="HG28" s="27"/>
      <c r="HH28" s="27"/>
      <c r="HI28" s="27"/>
      <c r="HJ28" s="27"/>
      <c r="HK28" s="27"/>
      <c r="HL28" s="27"/>
      <c r="HM28" s="27"/>
      <c r="HN28" s="27"/>
      <c r="HO28" s="27"/>
      <c r="HP28" s="27"/>
      <c r="HQ28" s="27"/>
      <c r="HR28" s="27"/>
      <c r="HS28" s="27"/>
      <c r="HT28" s="27"/>
      <c r="HU28" s="27"/>
      <c r="HV28" s="27"/>
      <c r="HW28" s="27"/>
      <c r="HX28" s="27"/>
      <c r="HY28" s="27"/>
      <c r="HZ28" s="27"/>
      <c r="IA28" s="27"/>
      <c r="IB28" s="27"/>
      <c r="IC28" s="27"/>
      <c r="ID28" s="27"/>
      <c r="IE28" s="27"/>
    </row>
    <row r="29" spans="1:239" s="3" customFormat="1" ht="30" customHeight="1" thickBot="1" x14ac:dyDescent="0.35">
      <c r="A29" s="31"/>
      <c r="B29" s="72" t="s">
        <v>52</v>
      </c>
      <c r="C29" s="72"/>
      <c r="D29" s="18"/>
      <c r="E29" s="48">
        <f>F28</f>
        <v>46082</v>
      </c>
      <c r="F29" s="48">
        <f>E29+5</f>
        <v>46087</v>
      </c>
      <c r="G29" s="14"/>
      <c r="H29" s="14"/>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68"/>
      <c r="AX29" s="68"/>
      <c r="AY29" s="68"/>
      <c r="AZ29" s="68"/>
      <c r="BA29" s="68"/>
      <c r="BB29" s="68"/>
      <c r="BC29" s="68"/>
      <c r="BD29" s="68"/>
      <c r="BE29" s="68"/>
      <c r="BF29" s="68"/>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27"/>
      <c r="FF29" s="27"/>
      <c r="FG29" s="27"/>
      <c r="FH29" s="27"/>
      <c r="FI29" s="27"/>
      <c r="FJ29" s="27"/>
      <c r="FK29" s="27"/>
      <c r="FL29" s="27"/>
      <c r="FM29" s="27"/>
      <c r="FN29" s="27"/>
      <c r="FO29" s="27"/>
      <c r="FP29" s="27"/>
      <c r="FQ29" s="27"/>
      <c r="FR29" s="27"/>
      <c r="FS29" s="27"/>
      <c r="FT29" s="27"/>
      <c r="FU29" s="27"/>
      <c r="FV29" s="27"/>
      <c r="FW29" s="27"/>
      <c r="FX29" s="27"/>
      <c r="FY29" s="27"/>
      <c r="FZ29" s="27"/>
      <c r="GA29" s="27"/>
      <c r="GB29" s="27"/>
      <c r="GC29" s="27"/>
      <c r="GD29" s="27"/>
      <c r="GE29" s="27"/>
      <c r="GF29" s="27"/>
      <c r="GG29" s="27"/>
      <c r="GH29" s="27"/>
      <c r="GI29" s="27"/>
      <c r="GJ29" s="27"/>
      <c r="GK29" s="27"/>
      <c r="GL29" s="27"/>
      <c r="GM29" s="27"/>
      <c r="GN29" s="27"/>
      <c r="GO29" s="27"/>
      <c r="GP29" s="27"/>
      <c r="GQ29" s="27"/>
      <c r="GR29" s="27"/>
      <c r="GS29" s="27"/>
      <c r="GT29" s="27"/>
      <c r="GU29" s="27"/>
      <c r="GV29" s="27"/>
      <c r="GW29" s="27"/>
      <c r="GX29" s="27"/>
      <c r="GY29" s="27"/>
      <c r="GZ29" s="27"/>
      <c r="HA29" s="27"/>
      <c r="HB29" s="27"/>
      <c r="HC29" s="27"/>
      <c r="HD29" s="27"/>
      <c r="HE29" s="27"/>
      <c r="HF29" s="27"/>
      <c r="HG29" s="27"/>
      <c r="HH29" s="27"/>
      <c r="HI29" s="27"/>
      <c r="HJ29" s="27"/>
      <c r="HK29" s="27"/>
      <c r="HL29" s="27"/>
      <c r="HM29" s="27"/>
      <c r="HN29" s="27"/>
      <c r="HO29" s="27"/>
      <c r="HP29" s="27"/>
      <c r="HQ29" s="27"/>
      <c r="HR29" s="27"/>
      <c r="HS29" s="27"/>
      <c r="HT29" s="27"/>
      <c r="HU29" s="27"/>
      <c r="HV29" s="27"/>
      <c r="HW29" s="27"/>
      <c r="HX29" s="27"/>
      <c r="HY29" s="27"/>
      <c r="HZ29" s="27"/>
      <c r="IA29" s="27"/>
      <c r="IB29" s="27"/>
      <c r="IC29" s="27"/>
      <c r="ID29" s="27"/>
      <c r="IE29" s="27"/>
    </row>
    <row r="30" spans="1:239" s="3" customFormat="1" ht="30" customHeight="1" thickBot="1" x14ac:dyDescent="0.35">
      <c r="A30" s="31" t="s">
        <v>11</v>
      </c>
      <c r="B30" s="75" t="s">
        <v>45</v>
      </c>
      <c r="C30" s="75"/>
      <c r="D30" s="19"/>
      <c r="E30" s="49"/>
      <c r="F30" s="50"/>
      <c r="G30" s="14"/>
      <c r="H30" s="14" t="str">
        <f t="shared" si="229"/>
        <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68"/>
      <c r="AX30" s="68"/>
      <c r="AY30" s="68"/>
      <c r="AZ30" s="68"/>
      <c r="BA30" s="68"/>
      <c r="BB30" s="68"/>
      <c r="BC30" s="68"/>
      <c r="BD30" s="68"/>
      <c r="BE30" s="68"/>
      <c r="BF30" s="68"/>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86" t="s">
        <v>60</v>
      </c>
      <c r="DK30" s="85"/>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c r="FY30" s="27"/>
      <c r="FZ30" s="27"/>
      <c r="GA30" s="27"/>
      <c r="GB30" s="27"/>
      <c r="GC30" s="27"/>
      <c r="GD30" s="27"/>
      <c r="GE30" s="27"/>
      <c r="GF30" s="27"/>
      <c r="GG30" s="27"/>
      <c r="GH30" s="27"/>
      <c r="GI30" s="27"/>
      <c r="GJ30" s="27"/>
      <c r="GK30" s="27"/>
      <c r="GL30" s="27"/>
      <c r="GM30" s="27"/>
      <c r="GN30" s="27"/>
      <c r="GO30" s="27"/>
      <c r="GP30" s="27"/>
      <c r="GQ30" s="27"/>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7"/>
      <c r="HT30" s="27"/>
      <c r="HU30" s="27"/>
      <c r="HV30" s="27"/>
      <c r="HW30" s="27"/>
      <c r="HX30" s="27"/>
      <c r="HY30" s="27"/>
      <c r="HZ30" s="27"/>
      <c r="IA30" s="27"/>
      <c r="IB30" s="27"/>
      <c r="IC30" s="27"/>
      <c r="ID30" s="27"/>
      <c r="IE30" s="27"/>
    </row>
    <row r="31" spans="1:239" s="3" customFormat="1" ht="30" customHeight="1" thickBot="1" x14ac:dyDescent="0.35">
      <c r="A31" s="31"/>
      <c r="B31" s="76" t="s">
        <v>48</v>
      </c>
      <c r="C31" s="76"/>
      <c r="D31" s="20">
        <v>0</v>
      </c>
      <c r="E31" s="51">
        <f>F29</f>
        <v>46087</v>
      </c>
      <c r="F31" s="51">
        <f>E31+3</f>
        <v>46090</v>
      </c>
      <c r="G31" s="14"/>
      <c r="H31" s="14">
        <f t="shared" si="229"/>
        <v>4</v>
      </c>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68"/>
      <c r="AX31" s="68"/>
      <c r="AY31" s="68"/>
      <c r="AZ31" s="68"/>
      <c r="BA31" s="68"/>
      <c r="BB31" s="68"/>
      <c r="BC31" s="68"/>
      <c r="BD31" s="68"/>
      <c r="BE31" s="68"/>
      <c r="BF31" s="68"/>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87"/>
      <c r="DK31" s="85"/>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27"/>
      <c r="FF31" s="27"/>
      <c r="FG31" s="27"/>
      <c r="FH31" s="27"/>
      <c r="FI31" s="27"/>
      <c r="FJ31" s="27"/>
      <c r="FK31" s="27"/>
      <c r="FL31" s="27"/>
      <c r="FM31" s="27"/>
      <c r="FN31" s="27"/>
      <c r="FO31" s="27"/>
      <c r="FP31" s="27"/>
      <c r="FQ31" s="27"/>
      <c r="FR31" s="27"/>
      <c r="FS31" s="27"/>
      <c r="FT31" s="27"/>
      <c r="FU31" s="27"/>
      <c r="FV31" s="27"/>
      <c r="FW31" s="27"/>
      <c r="FX31" s="27"/>
      <c r="FY31" s="27"/>
      <c r="FZ31" s="27"/>
      <c r="GA31" s="27"/>
      <c r="GB31" s="27"/>
      <c r="GC31" s="27"/>
      <c r="GD31" s="27"/>
      <c r="GE31" s="27"/>
      <c r="GF31" s="27"/>
      <c r="GG31" s="27"/>
      <c r="GH31" s="27"/>
      <c r="GI31" s="27"/>
      <c r="GJ31" s="27"/>
      <c r="GK31" s="27"/>
      <c r="GL31" s="27"/>
      <c r="GM31" s="27"/>
      <c r="GN31" s="27"/>
      <c r="GO31" s="27"/>
      <c r="GP31" s="27"/>
      <c r="GQ31" s="27"/>
      <c r="GR31" s="27"/>
      <c r="GS31" s="27"/>
      <c r="GT31" s="27"/>
      <c r="GU31" s="27"/>
      <c r="GV31" s="27"/>
      <c r="GW31" s="27"/>
      <c r="GX31" s="27"/>
      <c r="GY31" s="27"/>
      <c r="GZ31" s="27"/>
      <c r="HA31" s="27"/>
      <c r="HB31" s="27"/>
      <c r="HC31" s="27"/>
      <c r="HD31" s="27"/>
      <c r="HE31" s="27"/>
      <c r="HF31" s="27"/>
      <c r="HG31" s="27"/>
      <c r="HH31" s="27"/>
      <c r="HI31" s="27"/>
      <c r="HJ31" s="27"/>
      <c r="HK31" s="27"/>
      <c r="HL31" s="27"/>
      <c r="HM31" s="27"/>
      <c r="HN31" s="27"/>
      <c r="HO31" s="27"/>
      <c r="HP31" s="27"/>
      <c r="HQ31" s="27"/>
      <c r="HR31" s="27"/>
      <c r="HS31" s="27"/>
      <c r="HT31" s="27"/>
      <c r="HU31" s="27"/>
      <c r="HV31" s="27"/>
      <c r="HW31" s="27"/>
      <c r="HX31" s="27"/>
      <c r="HY31" s="27"/>
      <c r="HZ31" s="27"/>
      <c r="IA31" s="27"/>
      <c r="IB31" s="27"/>
      <c r="IC31" s="27"/>
      <c r="ID31" s="27"/>
      <c r="IE31" s="27"/>
    </row>
    <row r="32" spans="1:239" s="3" customFormat="1" ht="30" customHeight="1" thickBot="1" x14ac:dyDescent="0.35">
      <c r="A32" s="31"/>
      <c r="B32" s="76" t="s">
        <v>49</v>
      </c>
      <c r="C32" s="76"/>
      <c r="D32" s="20">
        <v>0</v>
      </c>
      <c r="E32" s="51">
        <f>F31</f>
        <v>46090</v>
      </c>
      <c r="F32" s="51">
        <f>E32+14</f>
        <v>46104</v>
      </c>
      <c r="G32" s="14"/>
      <c r="H32" s="14">
        <f t="shared" si="229"/>
        <v>15</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68"/>
      <c r="AX32" s="68"/>
      <c r="AY32" s="68"/>
      <c r="AZ32" s="68"/>
      <c r="BA32" s="68"/>
      <c r="BB32" s="68"/>
      <c r="BC32" s="68"/>
      <c r="BD32" s="68"/>
      <c r="BE32" s="68"/>
      <c r="BF32" s="68"/>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27"/>
      <c r="FF32" s="27"/>
      <c r="FG32" s="27"/>
      <c r="FH32" s="27"/>
      <c r="FI32" s="27"/>
      <c r="FJ32" s="27"/>
      <c r="FK32" s="27"/>
      <c r="FL32" s="27"/>
      <c r="FM32" s="27"/>
      <c r="FN32" s="27"/>
      <c r="FO32" s="27"/>
      <c r="FP32" s="27"/>
      <c r="FQ32" s="27"/>
      <c r="FR32" s="27"/>
      <c r="FS32" s="27"/>
      <c r="FT32" s="27"/>
      <c r="FU32" s="27"/>
      <c r="FV32" s="27"/>
      <c r="FW32" s="27"/>
      <c r="FX32" s="27"/>
      <c r="FY32" s="27"/>
      <c r="FZ32" s="27"/>
      <c r="GA32" s="27"/>
      <c r="GB32" s="27"/>
      <c r="GC32" s="27"/>
      <c r="GD32" s="27"/>
      <c r="GE32" s="27"/>
      <c r="GF32" s="27"/>
      <c r="GG32" s="27"/>
      <c r="GH32" s="27"/>
      <c r="GI32" s="27"/>
      <c r="GJ32" s="27"/>
      <c r="GK32" s="27"/>
      <c r="GL32" s="27"/>
      <c r="GM32" s="27"/>
      <c r="GN32" s="27"/>
      <c r="GO32" s="27"/>
      <c r="GP32" s="27"/>
      <c r="GQ32" s="27"/>
      <c r="GR32" s="27"/>
      <c r="GS32" s="27"/>
      <c r="GT32" s="27"/>
      <c r="GU32" s="27"/>
      <c r="GV32" s="27"/>
      <c r="GW32" s="27"/>
      <c r="GX32" s="27"/>
      <c r="GY32" s="27"/>
      <c r="GZ32" s="27"/>
      <c r="HA32" s="27"/>
      <c r="HB32" s="27"/>
      <c r="HC32" s="27"/>
      <c r="HD32" s="27"/>
      <c r="HE32" s="27"/>
      <c r="HF32" s="27"/>
      <c r="HG32" s="27"/>
      <c r="HH32" s="27"/>
      <c r="HI32" s="27"/>
      <c r="HJ32" s="27"/>
      <c r="HK32" s="27"/>
      <c r="HL32" s="27"/>
      <c r="HM32" s="27"/>
      <c r="HN32" s="27"/>
      <c r="HO32" s="27"/>
      <c r="HP32" s="27"/>
      <c r="HQ32" s="27"/>
      <c r="HR32" s="27"/>
      <c r="HS32" s="27"/>
      <c r="HT32" s="27"/>
      <c r="HU32" s="27"/>
      <c r="HV32" s="27"/>
      <c r="HW32" s="27"/>
      <c r="HX32" s="27"/>
      <c r="HY32" s="27"/>
      <c r="HZ32" s="27"/>
      <c r="IA32" s="27"/>
      <c r="IB32" s="27"/>
      <c r="IC32" s="27"/>
      <c r="ID32" s="27"/>
      <c r="IE32" s="27"/>
    </row>
    <row r="33" spans="1:239" s="3" customFormat="1" ht="30" customHeight="1" thickBot="1" x14ac:dyDescent="0.35">
      <c r="A33" s="31"/>
      <c r="B33" s="76" t="s">
        <v>50</v>
      </c>
      <c r="C33" s="76"/>
      <c r="D33" s="20">
        <v>0</v>
      </c>
      <c r="E33" s="51">
        <f>F32-4</f>
        <v>46100</v>
      </c>
      <c r="F33" s="51">
        <f>E33+7</f>
        <v>46107</v>
      </c>
      <c r="G33" s="14"/>
      <c r="H33" s="14">
        <f t="shared" si="229"/>
        <v>8</v>
      </c>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68"/>
      <c r="AX33" s="68"/>
      <c r="AY33" s="68"/>
      <c r="AZ33" s="68"/>
      <c r="BA33" s="68"/>
      <c r="BB33" s="68"/>
      <c r="BC33" s="68"/>
      <c r="BD33" s="68"/>
      <c r="BE33" s="68"/>
      <c r="BF33" s="68"/>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27"/>
      <c r="FF33" s="27"/>
      <c r="FG33" s="27"/>
      <c r="FH33" s="27"/>
      <c r="FI33" s="27"/>
      <c r="FJ33" s="27"/>
      <c r="FK33" s="27"/>
      <c r="FL33" s="27"/>
      <c r="FM33" s="27"/>
      <c r="FN33" s="27"/>
      <c r="FO33" s="27"/>
      <c r="FP33" s="27"/>
      <c r="FQ33" s="27"/>
      <c r="FR33" s="27"/>
      <c r="FS33" s="27"/>
      <c r="FT33" s="27"/>
      <c r="FU33" s="27"/>
      <c r="FV33" s="27"/>
      <c r="FW33" s="27"/>
      <c r="FX33" s="27"/>
      <c r="FY33" s="27"/>
      <c r="FZ33" s="27"/>
      <c r="GA33" s="27"/>
      <c r="GB33" s="27"/>
      <c r="GC33" s="27"/>
      <c r="GD33" s="27"/>
      <c r="GE33" s="27"/>
      <c r="GF33" s="27"/>
      <c r="GG33" s="27"/>
      <c r="GH33" s="27"/>
      <c r="GI33" s="27"/>
      <c r="GJ33" s="27"/>
      <c r="GK33" s="27"/>
      <c r="GL33" s="27"/>
      <c r="GM33" s="27"/>
      <c r="GN33" s="27"/>
      <c r="GO33" s="27"/>
      <c r="GP33" s="27"/>
      <c r="GQ33" s="27"/>
      <c r="GR33" s="27"/>
      <c r="GS33" s="27"/>
      <c r="GT33" s="27"/>
      <c r="GU33" s="27"/>
      <c r="GV33" s="27"/>
      <c r="GW33" s="27"/>
      <c r="GX33" s="27"/>
      <c r="GY33" s="27"/>
      <c r="GZ33" s="27"/>
      <c r="HA33" s="27"/>
      <c r="HB33" s="27"/>
      <c r="HC33" s="27"/>
      <c r="HD33" s="27"/>
      <c r="HE33" s="27"/>
      <c r="HF33" s="27"/>
      <c r="HG33" s="27"/>
      <c r="HH33" s="27"/>
      <c r="HI33" s="27"/>
      <c r="HJ33" s="27"/>
      <c r="HK33" s="27"/>
      <c r="HL33" s="27"/>
      <c r="HM33" s="27"/>
      <c r="HN33" s="27"/>
      <c r="HO33" s="27"/>
      <c r="HP33" s="27"/>
      <c r="HQ33" s="27"/>
      <c r="HR33" s="27"/>
      <c r="HS33" s="27"/>
      <c r="HT33" s="27"/>
      <c r="HU33" s="27"/>
      <c r="HV33" s="27"/>
      <c r="HW33" s="27"/>
      <c r="HX33" s="27"/>
      <c r="HY33" s="27"/>
      <c r="HZ33" s="27"/>
      <c r="IA33" s="27"/>
      <c r="IB33" s="27"/>
      <c r="IC33" s="27"/>
      <c r="ID33" s="27"/>
      <c r="IE33" s="27"/>
    </row>
    <row r="34" spans="1:239" s="3" customFormat="1" ht="30" customHeight="1" thickBot="1" x14ac:dyDescent="0.35">
      <c r="A34" s="31" t="s">
        <v>11</v>
      </c>
      <c r="B34" s="83" t="s">
        <v>44</v>
      </c>
      <c r="C34" s="83"/>
      <c r="D34" s="21"/>
      <c r="E34" s="52"/>
      <c r="F34" s="53"/>
      <c r="G34" s="14"/>
      <c r="H34" s="14" t="str">
        <f t="shared" si="229"/>
        <v/>
      </c>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68"/>
      <c r="AX34" s="68"/>
      <c r="AY34" s="68"/>
      <c r="AZ34" s="68"/>
      <c r="BA34" s="68"/>
      <c r="BB34" s="68"/>
      <c r="BC34" s="68"/>
      <c r="BD34" s="68"/>
      <c r="BE34" s="68"/>
      <c r="BF34" s="68"/>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86" t="s">
        <v>61</v>
      </c>
      <c r="EC34" s="85"/>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27"/>
      <c r="FF34" s="27"/>
      <c r="FG34" s="27"/>
      <c r="FH34" s="27"/>
      <c r="FI34" s="27"/>
      <c r="FJ34" s="27"/>
      <c r="FK34" s="27"/>
      <c r="FL34" s="27"/>
      <c r="FM34" s="27"/>
      <c r="FN34" s="27"/>
      <c r="FO34" s="27"/>
      <c r="FP34" s="27"/>
      <c r="FQ34" s="27"/>
      <c r="FR34" s="27"/>
      <c r="FS34" s="27"/>
      <c r="FT34" s="27"/>
      <c r="FU34" s="27"/>
      <c r="FV34" s="27"/>
      <c r="FW34" s="27"/>
      <c r="FX34" s="27"/>
      <c r="FY34" s="27"/>
      <c r="FZ34" s="27"/>
      <c r="GA34" s="27"/>
      <c r="GB34" s="27"/>
      <c r="GC34" s="27"/>
      <c r="GD34" s="27"/>
      <c r="GE34" s="27"/>
      <c r="GF34" s="27"/>
      <c r="GG34" s="27"/>
      <c r="GH34" s="27"/>
      <c r="GI34" s="27"/>
      <c r="GJ34" s="27"/>
      <c r="GK34" s="27"/>
      <c r="GL34" s="27"/>
      <c r="GM34" s="27"/>
      <c r="GN34" s="27"/>
      <c r="GO34" s="27"/>
      <c r="GP34" s="27"/>
      <c r="GQ34" s="27"/>
      <c r="GR34" s="27"/>
      <c r="GS34" s="27"/>
      <c r="GT34" s="27"/>
      <c r="GU34" s="27"/>
      <c r="GV34" s="27"/>
      <c r="GW34" s="27"/>
      <c r="GX34" s="27"/>
      <c r="GY34" s="27"/>
      <c r="GZ34" s="27"/>
      <c r="HA34" s="27"/>
      <c r="HB34" s="27"/>
      <c r="HC34" s="27"/>
      <c r="HD34" s="27"/>
      <c r="HE34" s="27"/>
      <c r="HF34" s="27"/>
      <c r="HG34" s="27"/>
      <c r="HH34" s="27"/>
      <c r="HI34" s="27"/>
      <c r="HJ34" s="27"/>
      <c r="HK34" s="27"/>
      <c r="HL34" s="27"/>
      <c r="HM34" s="27"/>
      <c r="HN34" s="27"/>
      <c r="HO34" s="27"/>
      <c r="HP34" s="27"/>
      <c r="HQ34" s="27"/>
      <c r="HR34" s="27"/>
      <c r="HS34" s="27"/>
      <c r="HT34" s="27"/>
      <c r="HU34" s="27"/>
      <c r="HV34" s="27"/>
      <c r="HW34" s="27"/>
      <c r="HX34" s="27"/>
      <c r="HY34" s="27"/>
      <c r="HZ34" s="27"/>
      <c r="IA34" s="27"/>
      <c r="IB34" s="27"/>
      <c r="IC34" s="27"/>
      <c r="ID34" s="27"/>
      <c r="IE34" s="27"/>
    </row>
    <row r="35" spans="1:239" s="3" customFormat="1" ht="30" customHeight="1" thickBot="1" x14ac:dyDescent="0.35">
      <c r="A35" s="31"/>
      <c r="B35" s="82" t="s">
        <v>46</v>
      </c>
      <c r="C35" s="82"/>
      <c r="D35" s="22">
        <v>0</v>
      </c>
      <c r="E35" s="54">
        <f>F33</f>
        <v>46107</v>
      </c>
      <c r="F35" s="54">
        <f>E35+7</f>
        <v>46114</v>
      </c>
      <c r="G35" s="14"/>
      <c r="H35" s="14">
        <f t="shared" si="229"/>
        <v>8</v>
      </c>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68"/>
      <c r="AX35" s="68"/>
      <c r="AY35" s="68"/>
      <c r="AZ35" s="68"/>
      <c r="BA35" s="68"/>
      <c r="BB35" s="68"/>
      <c r="BC35" s="68"/>
      <c r="BD35" s="68"/>
      <c r="BE35" s="68"/>
      <c r="BF35" s="68"/>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87"/>
      <c r="EC35" s="85"/>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27"/>
      <c r="FF35" s="27"/>
      <c r="FG35" s="27"/>
      <c r="FH35" s="27"/>
      <c r="FI35" s="27"/>
      <c r="FJ35" s="27"/>
      <c r="FK35" s="27"/>
      <c r="FL35" s="27"/>
      <c r="FM35" s="27"/>
      <c r="FN35" s="27"/>
      <c r="FO35" s="27"/>
      <c r="FP35" s="27"/>
      <c r="FQ35" s="27"/>
      <c r="FR35" s="27"/>
      <c r="FS35" s="27"/>
      <c r="FT35" s="27"/>
      <c r="FU35" s="27"/>
      <c r="FV35" s="27"/>
      <c r="FW35" s="27"/>
      <c r="FX35" s="27"/>
      <c r="FY35" s="27"/>
      <c r="FZ35" s="27"/>
      <c r="GA35" s="27"/>
      <c r="GB35" s="27"/>
      <c r="GC35" s="27"/>
      <c r="GD35" s="27"/>
      <c r="GE35" s="27"/>
      <c r="GF35" s="27"/>
      <c r="GG35" s="27"/>
      <c r="GH35" s="27"/>
      <c r="GI35" s="27"/>
      <c r="GJ35" s="27"/>
      <c r="GK35" s="27"/>
      <c r="GL35" s="27"/>
      <c r="GM35" s="27"/>
      <c r="GN35" s="27"/>
      <c r="GO35" s="27"/>
      <c r="GP35" s="27"/>
      <c r="GQ35" s="27"/>
      <c r="GR35" s="27"/>
      <c r="GS35" s="27"/>
      <c r="GT35" s="27"/>
      <c r="GU35" s="27"/>
      <c r="GV35" s="27"/>
      <c r="GW35" s="27"/>
      <c r="GX35" s="27"/>
      <c r="GY35" s="27"/>
      <c r="GZ35" s="27"/>
      <c r="HA35" s="27"/>
      <c r="HB35" s="27"/>
      <c r="HC35" s="27"/>
      <c r="HD35" s="27"/>
      <c r="HE35" s="27"/>
      <c r="HF35" s="27"/>
      <c r="HG35" s="27"/>
      <c r="HH35" s="27"/>
      <c r="HI35" s="27"/>
      <c r="HJ35" s="27"/>
      <c r="HK35" s="27"/>
      <c r="HL35" s="27"/>
      <c r="HM35" s="27"/>
      <c r="HN35" s="27"/>
      <c r="HO35" s="27"/>
      <c r="HP35" s="27"/>
      <c r="HQ35" s="27"/>
      <c r="HR35" s="27"/>
      <c r="HS35" s="27"/>
      <c r="HT35" s="27"/>
      <c r="HU35" s="27"/>
      <c r="HV35" s="27"/>
      <c r="HW35" s="27"/>
      <c r="HX35" s="27"/>
      <c r="HY35" s="27"/>
      <c r="HZ35" s="27"/>
      <c r="IA35" s="27"/>
      <c r="IB35" s="27"/>
      <c r="IC35" s="27"/>
      <c r="ID35" s="27"/>
      <c r="IE35" s="27"/>
    </row>
    <row r="36" spans="1:239" s="3" customFormat="1" ht="30" customHeight="1" thickBot="1" x14ac:dyDescent="0.35">
      <c r="A36" s="31"/>
      <c r="B36" s="82" t="s">
        <v>47</v>
      </c>
      <c r="C36" s="82"/>
      <c r="D36" s="22">
        <v>0</v>
      </c>
      <c r="E36" s="54">
        <f>F35</f>
        <v>46114</v>
      </c>
      <c r="F36" s="54">
        <f>E36+14</f>
        <v>46128</v>
      </c>
      <c r="G36" s="14"/>
      <c r="H36" s="14">
        <f t="shared" si="229"/>
        <v>15</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68"/>
      <c r="AX36" s="68"/>
      <c r="AY36" s="68"/>
      <c r="AZ36" s="68"/>
      <c r="BA36" s="68"/>
      <c r="BB36" s="68"/>
      <c r="BC36" s="68"/>
      <c r="BD36" s="68"/>
      <c r="BE36" s="68"/>
      <c r="BF36" s="68"/>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c r="FA36" s="27"/>
      <c r="FB36" s="27"/>
      <c r="FC36" s="27"/>
      <c r="FD36" s="27"/>
      <c r="FE36" s="27"/>
      <c r="FF36" s="27"/>
      <c r="FG36" s="27"/>
      <c r="FH36" s="27"/>
      <c r="FI36" s="27"/>
      <c r="FJ36" s="27"/>
      <c r="FK36" s="27"/>
      <c r="FL36" s="27"/>
      <c r="FM36" s="27"/>
      <c r="FN36" s="27"/>
      <c r="FO36" s="27"/>
      <c r="FP36" s="27"/>
      <c r="FQ36" s="27"/>
      <c r="FR36" s="27"/>
      <c r="FS36" s="27"/>
      <c r="FT36" s="27"/>
      <c r="FU36" s="27"/>
      <c r="FV36" s="27"/>
      <c r="FW36" s="27"/>
      <c r="FX36" s="27"/>
      <c r="FY36" s="27"/>
      <c r="FZ36" s="27"/>
      <c r="GA36" s="27"/>
      <c r="GB36" s="27"/>
      <c r="GC36" s="27"/>
      <c r="GD36" s="27"/>
      <c r="GE36" s="27"/>
      <c r="GF36" s="27"/>
      <c r="GG36" s="27"/>
      <c r="GH36" s="27"/>
      <c r="GI36" s="27"/>
      <c r="GJ36" s="27"/>
      <c r="GK36" s="27"/>
      <c r="GL36" s="27"/>
      <c r="GM36" s="27"/>
      <c r="GN36" s="27"/>
      <c r="GO36" s="27"/>
      <c r="GP36" s="27"/>
      <c r="GQ36" s="27"/>
      <c r="GR36" s="27"/>
      <c r="GS36" s="27"/>
      <c r="GT36" s="27"/>
      <c r="GU36" s="27"/>
      <c r="GV36" s="27"/>
      <c r="GW36" s="27"/>
      <c r="GX36" s="27"/>
      <c r="GY36" s="27"/>
      <c r="GZ36" s="27"/>
      <c r="HA36" s="27"/>
      <c r="HB36" s="27"/>
      <c r="HC36" s="27"/>
      <c r="HD36" s="27"/>
      <c r="HE36" s="27"/>
      <c r="HF36" s="27"/>
      <c r="HG36" s="27"/>
      <c r="HH36" s="27"/>
      <c r="HI36" s="27"/>
      <c r="HJ36" s="27"/>
      <c r="HK36" s="27"/>
      <c r="HL36" s="27"/>
      <c r="HM36" s="27"/>
      <c r="HN36" s="27"/>
      <c r="HO36" s="27"/>
      <c r="HP36" s="27"/>
      <c r="HQ36" s="27"/>
      <c r="HR36" s="27"/>
      <c r="HS36" s="27"/>
      <c r="HT36" s="27"/>
      <c r="HU36" s="27"/>
      <c r="HV36" s="27"/>
      <c r="HW36" s="27"/>
      <c r="HX36" s="27"/>
      <c r="HY36" s="27"/>
      <c r="HZ36" s="27"/>
      <c r="IA36" s="27"/>
      <c r="IB36" s="27"/>
      <c r="IC36" s="27"/>
      <c r="ID36" s="27"/>
      <c r="IE36" s="27"/>
    </row>
    <row r="37" spans="1:239" s="3" customFormat="1" ht="30" customHeight="1" thickBot="1" x14ac:dyDescent="0.35">
      <c r="A37" s="31" t="s">
        <v>12</v>
      </c>
      <c r="B37" s="39"/>
      <c r="C37" s="38"/>
      <c r="D37" s="13"/>
      <c r="E37" s="55"/>
      <c r="F37" s="55"/>
      <c r="G37" s="14"/>
      <c r="H37" s="14" t="str">
        <f t="shared" si="229"/>
        <v/>
      </c>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68"/>
      <c r="AX37" s="68"/>
      <c r="AY37" s="68"/>
      <c r="AZ37" s="68"/>
      <c r="BA37" s="68"/>
      <c r="BB37" s="68"/>
      <c r="BC37" s="68"/>
      <c r="BD37" s="68"/>
      <c r="BE37" s="68"/>
      <c r="BF37" s="68"/>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row>
    <row r="38" spans="1:239" s="3" customFormat="1" ht="30" customHeight="1" thickBot="1" x14ac:dyDescent="0.35">
      <c r="A38" s="32" t="s">
        <v>13</v>
      </c>
      <c r="B38" s="23" t="s">
        <v>15</v>
      </c>
      <c r="C38" s="24"/>
      <c r="D38" s="25"/>
      <c r="E38" s="56"/>
      <c r="F38" s="57"/>
      <c r="G38" s="26"/>
      <c r="H38" s="26" t="str">
        <f t="shared" si="229"/>
        <v/>
      </c>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68"/>
      <c r="AX38" s="68"/>
      <c r="AY38" s="68"/>
      <c r="AZ38" s="68"/>
      <c r="BA38" s="68"/>
      <c r="BB38" s="68"/>
      <c r="BC38" s="68"/>
      <c r="BD38" s="68"/>
      <c r="BE38" s="68"/>
      <c r="BF38" s="68"/>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c r="EA38" s="29"/>
      <c r="EB38" s="29"/>
      <c r="EC38" s="29"/>
      <c r="ED38" s="29"/>
      <c r="EE38" s="29"/>
      <c r="EF38" s="29"/>
      <c r="EG38" s="29"/>
      <c r="EH38" s="29"/>
      <c r="EI38" s="29"/>
      <c r="EJ38" s="29"/>
      <c r="EK38" s="29"/>
      <c r="EL38" s="29"/>
      <c r="EM38" s="29"/>
      <c r="EN38" s="29"/>
      <c r="EO38" s="29"/>
      <c r="EP38" s="29"/>
      <c r="EQ38" s="29"/>
      <c r="ER38" s="29"/>
      <c r="ES38" s="29"/>
      <c r="ET38" s="29"/>
      <c r="EU38" s="29"/>
      <c r="EV38" s="29"/>
      <c r="EW38" s="29"/>
      <c r="EX38" s="29"/>
      <c r="EY38" s="29"/>
      <c r="EZ38" s="29"/>
      <c r="FA38" s="29"/>
      <c r="FB38" s="29"/>
      <c r="FC38" s="29"/>
      <c r="FD38" s="29"/>
      <c r="FE38" s="29"/>
      <c r="FF38" s="29"/>
      <c r="FG38" s="29"/>
      <c r="FH38" s="29"/>
      <c r="FI38" s="29"/>
      <c r="FJ38" s="29"/>
      <c r="FK38" s="29"/>
      <c r="FL38" s="29"/>
      <c r="FM38" s="29"/>
      <c r="FN38" s="29"/>
      <c r="FO38" s="29"/>
      <c r="FP38" s="29"/>
      <c r="FQ38" s="29"/>
      <c r="FR38" s="29"/>
      <c r="FS38" s="29"/>
      <c r="FT38" s="29"/>
      <c r="FU38" s="29"/>
      <c r="FV38" s="29"/>
      <c r="FW38" s="29"/>
      <c r="FX38" s="29"/>
      <c r="FY38" s="29"/>
      <c r="FZ38" s="29"/>
      <c r="GA38" s="29"/>
      <c r="GB38" s="29"/>
      <c r="GC38" s="29"/>
      <c r="GD38" s="29"/>
      <c r="GE38" s="29"/>
      <c r="GF38" s="29"/>
      <c r="GG38" s="29"/>
      <c r="GH38" s="29"/>
      <c r="GI38" s="29"/>
      <c r="GJ38" s="29"/>
      <c r="GK38" s="29"/>
      <c r="GL38" s="29"/>
      <c r="GM38" s="29"/>
      <c r="GN38" s="29"/>
      <c r="GO38" s="29"/>
      <c r="GP38" s="29"/>
      <c r="GQ38" s="29"/>
      <c r="GR38" s="29"/>
      <c r="GS38" s="29"/>
      <c r="GT38" s="29"/>
      <c r="GU38" s="29"/>
      <c r="GV38" s="29"/>
      <c r="GW38" s="29"/>
      <c r="GX38" s="29"/>
      <c r="GY38" s="29"/>
      <c r="GZ38" s="29"/>
      <c r="HA38" s="29"/>
      <c r="HB38" s="29"/>
      <c r="HC38" s="29"/>
      <c r="HD38" s="29"/>
      <c r="HE38" s="29"/>
      <c r="HF38" s="29"/>
      <c r="HG38" s="29"/>
      <c r="HH38" s="29"/>
      <c r="HI38" s="29"/>
      <c r="HJ38" s="29"/>
      <c r="HK38" s="29"/>
      <c r="HL38" s="29"/>
      <c r="HM38" s="29"/>
      <c r="HN38" s="29"/>
      <c r="HO38" s="29"/>
      <c r="HP38" s="29"/>
      <c r="HQ38" s="29"/>
      <c r="HR38" s="29"/>
      <c r="HS38" s="29"/>
      <c r="HT38" s="29"/>
      <c r="HU38" s="29"/>
      <c r="HV38" s="29"/>
      <c r="HW38" s="29"/>
      <c r="HX38" s="29"/>
      <c r="HY38" s="29"/>
      <c r="HZ38" s="29"/>
      <c r="IA38" s="29"/>
      <c r="IB38" s="29"/>
      <c r="IC38" s="29"/>
      <c r="ID38" s="29"/>
      <c r="IE38" s="29"/>
    </row>
    <row r="39" spans="1:239" ht="30" customHeight="1" x14ac:dyDescent="0.3">
      <c r="G39" s="6"/>
    </row>
    <row r="40" spans="1:239" ht="30" customHeight="1" x14ac:dyDescent="0.3">
      <c r="C40" s="11"/>
      <c r="F40" s="33"/>
    </row>
    <row r="41" spans="1:239" ht="30" customHeight="1" x14ac:dyDescent="0.3">
      <c r="C41" s="12"/>
    </row>
  </sheetData>
  <mergeCells count="82">
    <mergeCell ref="JO4:JU4"/>
    <mergeCell ref="I4:M4"/>
    <mergeCell ref="N4:R4"/>
    <mergeCell ref="S4:W4"/>
    <mergeCell ref="X4:AB4"/>
    <mergeCell ref="AC4:AG4"/>
    <mergeCell ref="AH4:AL4"/>
    <mergeCell ref="AM4:AQ4"/>
    <mergeCell ref="AR4:AV4"/>
    <mergeCell ref="AW4:BA4"/>
    <mergeCell ref="BB4:BF4"/>
    <mergeCell ref="BG4:BK4"/>
    <mergeCell ref="BL4:BP4"/>
    <mergeCell ref="BQ4:BU4"/>
    <mergeCell ref="BV4:BZ4"/>
    <mergeCell ref="CA4:CE4"/>
    <mergeCell ref="IF4:IL4"/>
    <mergeCell ref="IM4:IS4"/>
    <mergeCell ref="IT4:IZ4"/>
    <mergeCell ref="JA4:JG4"/>
    <mergeCell ref="JH4:JN4"/>
    <mergeCell ref="HU4:HY4"/>
    <mergeCell ref="HZ4:ID4"/>
    <mergeCell ref="FM4:FQ4"/>
    <mergeCell ref="FR4:FV4"/>
    <mergeCell ref="FW4:GA4"/>
    <mergeCell ref="GB4:GF4"/>
    <mergeCell ref="GG4:GK4"/>
    <mergeCell ref="GL4:GP4"/>
    <mergeCell ref="GQ4:GU4"/>
    <mergeCell ref="GV4:GZ4"/>
    <mergeCell ref="HA4:HE4"/>
    <mergeCell ref="HF4:HJ4"/>
    <mergeCell ref="HK4:HO4"/>
    <mergeCell ref="HP4:HT4"/>
    <mergeCell ref="FC4:FG4"/>
    <mergeCell ref="FH4:FL4"/>
    <mergeCell ref="CU4:CY4"/>
    <mergeCell ref="CZ4:DD4"/>
    <mergeCell ref="DE4:DI4"/>
    <mergeCell ref="DJ4:DN4"/>
    <mergeCell ref="DO4:DS4"/>
    <mergeCell ref="DT4:DX4"/>
    <mergeCell ref="DY4:EC4"/>
    <mergeCell ref="ED4:EH4"/>
    <mergeCell ref="EI4:EM4"/>
    <mergeCell ref="EN4:ER4"/>
    <mergeCell ref="ES4:EW4"/>
    <mergeCell ref="EX4:FB4"/>
    <mergeCell ref="CF4:CJ4"/>
    <mergeCell ref="CK4:CO4"/>
    <mergeCell ref="CP4:CT4"/>
    <mergeCell ref="B36:C36"/>
    <mergeCell ref="B16:C16"/>
    <mergeCell ref="B23:C23"/>
    <mergeCell ref="B24:C24"/>
    <mergeCell ref="B25:C25"/>
    <mergeCell ref="B26:C26"/>
    <mergeCell ref="B27:C27"/>
    <mergeCell ref="B28:C28"/>
    <mergeCell ref="B33:C33"/>
    <mergeCell ref="B34:C34"/>
    <mergeCell ref="B35:C35"/>
    <mergeCell ref="B21:C21"/>
    <mergeCell ref="B22:C22"/>
    <mergeCell ref="B30:C30"/>
    <mergeCell ref="B31:C31"/>
    <mergeCell ref="B32:C32"/>
    <mergeCell ref="B15:C15"/>
    <mergeCell ref="B17:C17"/>
    <mergeCell ref="B18:C18"/>
    <mergeCell ref="B19:C19"/>
    <mergeCell ref="B20:C20"/>
    <mergeCell ref="C3:D3"/>
    <mergeCell ref="C4:D4"/>
    <mergeCell ref="E3:F3"/>
    <mergeCell ref="B29:C29"/>
    <mergeCell ref="B9:C9"/>
    <mergeCell ref="B10:C10"/>
    <mergeCell ref="B14:C14"/>
    <mergeCell ref="B11:C11"/>
    <mergeCell ref="B12:C12"/>
  </mergeCells>
  <conditionalFormatting sqref="D7:D38">
    <cfRule type="dataBar" priority="15">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6:BL8 I5:JW5 BM6:IE6 I22:IE38 I21:CN21 CP21:IE21 I9:IE20">
    <cfRule type="expression" dxfId="2" priority="34">
      <formula>AND(TODAY()&gt;=I$5,TODAY()&lt;J$5)</formula>
    </cfRule>
  </conditionalFormatting>
  <conditionalFormatting sqref="I7:BL8 I22:IE38 I21:CN21 CP21:IE21 I9:IE20">
    <cfRule type="expression" dxfId="1" priority="28">
      <formula>AND(task_start&lt;=I$5,ROUNDDOWN((task_end-task_start+1)*task_progress,0)+task_start-1&gt;=I$5)</formula>
    </cfRule>
    <cfRule type="expression" dxfId="0" priority="29" stopIfTrue="1">
      <formula>AND(task_end&gt;=I$5,task_start&lt;J$5)</formula>
    </cfRule>
  </conditionalFormatting>
  <dataValidations disablePrompts="1"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sharepoint/v3"/>
    <ds:schemaRef ds:uri="230e9df3-be65-4c73-a93b-d1236ebd677e"/>
    <ds:schemaRef ds:uri="http://purl.org/dc/terms/"/>
    <ds:schemaRef ds:uri="http://schemas.openxmlformats.org/package/2006/metadata/core-properties"/>
    <ds:schemaRef ds:uri="16c05727-aa75-4e4a-9b5f-8a80a1165891"/>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71af3243-3dd4-4a8d-8c0d-dd76da1f02a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ProjectSchedule</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2025-11-19T10:01:43Z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