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renishawplc-my.sharepoint.com/personal/bb155134_renishaw_com/Documents/Oscillator/Documents/"/>
    </mc:Choice>
  </mc:AlternateContent>
  <xr:revisionPtr revIDLastSave="5" documentId="13_ncr:1_{7AAB0FD4-4E92-4B31-9736-CC5D113F5710}" xr6:coauthVersionLast="47" xr6:coauthVersionMax="47" xr10:uidLastSave="{198BED52-3ECC-4CE8-970D-C261F378475A}"/>
  <bookViews>
    <workbookView xWindow="30612" yWindow="-312" windowWidth="30936" windowHeight="16776" xr2:uid="{E744220E-C50D-43BB-8774-1419CA921BE3}"/>
  </bookViews>
  <sheets>
    <sheet name="Final BOM" sheetId="1" r:id="rId1"/>
  </sheets>
  <definedNames>
    <definedName name="_xlnm.Print_Area" localSheetId="0">'Final BOM'!$C$2:$P$37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 r="M4" i="1"/>
  <c r="M5" i="1"/>
  <c r="M6" i="1"/>
  <c r="M7" i="1"/>
  <c r="M8" i="1"/>
  <c r="M9" i="1"/>
  <c r="M10" i="1"/>
  <c r="M11" i="1"/>
  <c r="M12" i="1"/>
  <c r="M13" i="1"/>
  <c r="M14" i="1"/>
  <c r="M15" i="1"/>
  <c r="M16" i="1"/>
  <c r="M17" i="1"/>
  <c r="M18" i="1"/>
  <c r="O18" i="1" s="1"/>
  <c r="M19" i="1"/>
  <c r="O19" i="1" s="1"/>
  <c r="M20" i="1"/>
  <c r="M21" i="1"/>
  <c r="M22" i="1"/>
  <c r="M23" i="1"/>
  <c r="M24" i="1"/>
  <c r="M25" i="1"/>
  <c r="M26" i="1"/>
  <c r="M27" i="1"/>
  <c r="M28" i="1"/>
  <c r="M29" i="1"/>
  <c r="M30" i="1"/>
  <c r="M31" i="1"/>
  <c r="M32" i="1"/>
  <c r="M33" i="1"/>
  <c r="M34" i="1"/>
  <c r="M35" i="1"/>
  <c r="M36" i="1"/>
  <c r="M3" i="1"/>
  <c r="O5" i="1" l="1"/>
  <c r="O6" i="1"/>
  <c r="O7" i="1"/>
  <c r="O8" i="1"/>
  <c r="O9" i="1"/>
  <c r="O10" i="1"/>
  <c r="O11" i="1"/>
  <c r="O12" i="1"/>
  <c r="O13" i="1"/>
  <c r="O14" i="1"/>
  <c r="O15" i="1"/>
  <c r="O16" i="1"/>
  <c r="O17" i="1"/>
  <c r="O20" i="1"/>
  <c r="O21" i="1"/>
  <c r="O22" i="1"/>
  <c r="O23" i="1"/>
  <c r="O24" i="1"/>
  <c r="O25" i="1"/>
  <c r="O26" i="1"/>
  <c r="O27" i="1"/>
  <c r="O28" i="1"/>
  <c r="O29" i="1"/>
  <c r="O30" i="1"/>
  <c r="O31" i="1"/>
  <c r="O32" i="1"/>
  <c r="O33" i="1"/>
  <c r="O34" i="1"/>
  <c r="O35" i="1"/>
  <c r="O36" i="1"/>
  <c r="O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0" i="1"/>
  <c r="R92" i="1"/>
  <c r="R96" i="1"/>
  <c r="R98" i="1"/>
  <c r="R99" i="1"/>
  <c r="R97" i="1"/>
  <c r="R95" i="1"/>
  <c r="R94" i="1"/>
  <c r="R93" i="1"/>
  <c r="R91" i="1"/>
  <c r="R89" i="1"/>
  <c r="R88" i="1"/>
  <c r="R87" i="1"/>
  <c r="R86" i="1"/>
  <c r="R85" i="1"/>
  <c r="R84" i="1"/>
  <c r="R83" i="1"/>
  <c r="R82" i="1"/>
  <c r="R81" i="1"/>
  <c r="R80" i="1"/>
  <c r="R79" i="1"/>
  <c r="R78" i="1"/>
  <c r="R77" i="1"/>
  <c r="R76" i="1"/>
  <c r="R75" i="1"/>
  <c r="R74" i="1"/>
  <c r="R73" i="1"/>
  <c r="R72" i="1"/>
  <c r="R71" i="1"/>
  <c r="R70" i="1"/>
  <c r="R69" i="1"/>
  <c r="R68" i="1"/>
  <c r="O3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Short</author>
    <author>Zachary Rose</author>
  </authors>
  <commentList>
    <comment ref="A2" authorId="0" shapeId="0" xr:uid="{91DBE765-C6AF-4FCE-9211-94B413C73776}">
      <text>
        <r>
          <rPr>
            <b/>
            <sz val="9"/>
            <color indexed="81"/>
            <rFont val="Tahoma"/>
            <charset val="1"/>
          </rPr>
          <t>Andrew Short:</t>
        </r>
        <r>
          <rPr>
            <sz val="9"/>
            <color indexed="81"/>
            <rFont val="Tahoma"/>
            <charset val="1"/>
          </rPr>
          <t xml:space="preserve">
Eg Resistor, IC, etc.</t>
        </r>
      </text>
    </comment>
    <comment ref="B2" authorId="0" shapeId="0" xr:uid="{905B43E4-A5A7-436F-BF3E-2E91A19018E4}">
      <text>
        <r>
          <rPr>
            <b/>
            <sz val="9"/>
            <color indexed="81"/>
            <rFont val="Tahoma"/>
            <charset val="1"/>
          </rPr>
          <t>Andrew Short:</t>
        </r>
        <r>
          <rPr>
            <sz val="9"/>
            <color indexed="81"/>
            <rFont val="Tahoma"/>
            <charset val="1"/>
          </rPr>
          <t xml:space="preserve">
If applicable, eg Ohms, Farads, etc.</t>
        </r>
      </text>
    </comment>
    <comment ref="C2" authorId="0" shapeId="0" xr:uid="{E1AC6740-F976-47E6-AE23-F3765B8FFBCE}">
      <text>
        <r>
          <rPr>
            <b/>
            <sz val="9"/>
            <color indexed="81"/>
            <rFont val="Tahoma"/>
            <charset val="1"/>
          </rPr>
          <t>Andrew Short:</t>
        </r>
        <r>
          <rPr>
            <sz val="9"/>
            <color indexed="81"/>
            <rFont val="Tahoma"/>
            <charset val="1"/>
          </rPr>
          <t xml:space="preserve">
From the schematic, eg R27, D49, etc.</t>
        </r>
      </text>
    </comment>
    <comment ref="E2" authorId="1" shapeId="0" xr:uid="{D1E8FDDA-DE0A-45C7-828A-7FDE6B44BD86}">
      <text>
        <r>
          <rPr>
            <sz val="11"/>
            <color theme="1"/>
            <rFont val="Calibri"/>
            <family val="2"/>
            <scheme val="minor"/>
          </rPr>
          <t>Zachary Rose:
Manufacturer Part number found on datasheet for component</t>
        </r>
      </text>
    </comment>
    <comment ref="F2" authorId="0" shapeId="0" xr:uid="{F1C0E583-D558-4A05-94B8-A9FA76C0BE8E}">
      <text>
        <r>
          <rPr>
            <b/>
            <sz val="9"/>
            <color indexed="81"/>
            <rFont val="Tahoma"/>
            <charset val="1"/>
          </rPr>
          <t>Andrew Short:</t>
        </r>
        <r>
          <rPr>
            <sz val="9"/>
            <color indexed="81"/>
            <rFont val="Tahoma"/>
            <charset val="1"/>
          </rPr>
          <t xml:space="preserve">
How many parts you will use from department stock (not Woodchester)</t>
        </r>
      </text>
    </comment>
    <comment ref="G2" authorId="0" shapeId="0" xr:uid="{FE8080EE-66B8-4862-BB1F-43569908DC1C}">
      <text>
        <r>
          <rPr>
            <b/>
            <sz val="9"/>
            <color indexed="81"/>
            <rFont val="Tahoma"/>
            <charset val="1"/>
          </rPr>
          <t>Andrew Short:</t>
        </r>
        <r>
          <rPr>
            <sz val="9"/>
            <color indexed="81"/>
            <rFont val="Tahoma"/>
            <charset val="1"/>
          </rPr>
          <t xml:space="preserve">
Where to get, eg Farnell, Woodchester, etc.</t>
        </r>
      </text>
    </comment>
    <comment ref="H2" authorId="0" shapeId="0" xr:uid="{E02F6917-1494-4D61-84C6-FF62555E06E9}">
      <text>
        <r>
          <rPr>
            <b/>
            <sz val="9"/>
            <color indexed="81"/>
            <rFont val="Tahoma"/>
            <family val="2"/>
          </rPr>
          <t>Andrew Short:</t>
        </r>
        <r>
          <rPr>
            <sz val="9"/>
            <color indexed="81"/>
            <rFont val="Tahoma"/>
            <family val="2"/>
          </rPr>
          <t xml:space="preserve">
Tick to show parts are currently available.</t>
        </r>
      </text>
    </comment>
    <comment ref="I2" authorId="1" shapeId="0" xr:uid="{58E48922-4B18-41CE-91FD-989C29149B54}">
      <text>
        <r>
          <rPr>
            <sz val="11"/>
            <color theme="1"/>
            <rFont val="Calibri"/>
            <family val="2"/>
            <scheme val="minor"/>
          </rPr>
          <t>Zachary Rose:
Part number found on supplier link; individual to each supplier even for same part.</t>
        </r>
      </text>
    </comment>
    <comment ref="J2" authorId="1" shapeId="0" xr:uid="{3489F4D1-4798-4868-931B-AEE1CF74B220}">
      <text>
        <r>
          <rPr>
            <sz val="11"/>
            <color theme="1"/>
            <rFont val="Calibri"/>
            <family val="2"/>
            <scheme val="minor"/>
          </rPr>
          <t>Zachary Rose:
Quantity of components needed per board</t>
        </r>
      </text>
    </comment>
    <comment ref="K2" authorId="0" shapeId="0" xr:uid="{C0D39D1D-7856-4BFF-B920-A0F3DF1E386A}">
      <text>
        <r>
          <rPr>
            <sz val="11"/>
            <color theme="1"/>
            <rFont val="Calibri"/>
            <family val="2"/>
            <scheme val="minor"/>
          </rPr>
          <t>Andrew Short:
Based on number of boards x Number of units per board + some spares minus number in stock internally.</t>
        </r>
      </text>
    </comment>
    <comment ref="L2" authorId="1" shapeId="0" xr:uid="{01CC39B8-5F64-4EAF-80FB-3BC6BB387534}">
      <text>
        <r>
          <rPr>
            <sz val="11"/>
            <color theme="1"/>
            <rFont val="Calibri"/>
            <family val="2"/>
            <scheme val="minor"/>
          </rPr>
          <t>Zachary Rose:
Minimum order quantity quoted by supplier for each component</t>
        </r>
      </text>
    </comment>
    <comment ref="M2" authorId="1" shapeId="0" xr:uid="{01D5A340-3080-45CD-A676-E6DC8F2CEB08}">
      <text>
        <r>
          <rPr>
            <sz val="11"/>
            <color theme="1"/>
            <rFont val="Calibri"/>
            <family val="2"/>
            <scheme val="minor"/>
          </rPr>
          <t>Zachary Rose:
The final/total order quantity with respect to the MOQ or multiple from the supplier.
If you need 26 resistors and the MOQ is 10 and the multiple is 10. Then you will have to order 30.</t>
        </r>
      </text>
    </comment>
    <comment ref="N2" authorId="0" shapeId="0" xr:uid="{D5F1D6BD-4D35-4194-B28D-07AB6E526611}">
      <text>
        <r>
          <rPr>
            <b/>
            <sz val="9"/>
            <color indexed="81"/>
            <rFont val="Tahoma"/>
            <charset val="1"/>
          </rPr>
          <t>Andrew Short:</t>
        </r>
        <r>
          <rPr>
            <sz val="9"/>
            <color indexed="81"/>
            <rFont val="Tahoma"/>
            <charset val="1"/>
          </rPr>
          <t xml:space="preserve">
The purchase price of each unit to be bought.</t>
        </r>
      </text>
    </comment>
    <comment ref="O2" authorId="1" shapeId="0" xr:uid="{93DF30D0-8041-4C3D-9765-BB7D6D92B969}">
      <text>
        <r>
          <rPr>
            <sz val="11"/>
            <color theme="1"/>
            <rFont val="Calibri"/>
            <family val="2"/>
            <scheme val="minor"/>
          </rPr>
          <t>Zachary Rose:
Price/unit * order quantity in £</t>
        </r>
      </text>
    </comment>
    <comment ref="P2" authorId="0" shapeId="0" xr:uid="{5C122981-E978-4EFE-8F5F-1BF403A51A98}">
      <text>
        <r>
          <rPr>
            <sz val="11"/>
            <color theme="1"/>
            <rFont val="Calibri"/>
            <family val="2"/>
            <scheme val="minor"/>
          </rPr>
          <t>Zachary Rose:  Supplier Web link 
-needs to be checked as old parts will have incorrect links due to duplicated supplier number when parts are phased out.</t>
        </r>
      </text>
    </comment>
    <comment ref="Q2" authorId="1" shapeId="0" xr:uid="{9A9990C6-2F81-47EA-AE61-8CEDCF90E60D}">
      <text>
        <r>
          <rPr>
            <sz val="11"/>
            <color theme="1"/>
            <rFont val="Calibri"/>
            <family val="2"/>
            <scheme val="minor"/>
          </rPr>
          <t>Zachary Rose:
For Andy or someone responsible to tick when they are happy with all the information you have provided.</t>
        </r>
      </text>
    </comment>
    <comment ref="S2" authorId="1" shapeId="0" xr:uid="{13A19C89-11D7-4209-AD99-E2F597E498BB}">
      <text>
        <r>
          <rPr>
            <sz val="11"/>
            <color theme="1"/>
            <rFont val="Calibri"/>
            <family val="2"/>
            <scheme val="minor"/>
          </rPr>
          <t>Zachary Rose:
Self-explanatory: Enter how many boards you need to assemble and build.</t>
        </r>
      </text>
    </comment>
  </commentList>
</comments>
</file>

<file path=xl/sharedStrings.xml><?xml version="1.0" encoding="utf-8"?>
<sst xmlns="http://schemas.openxmlformats.org/spreadsheetml/2006/main" count="298" uniqueCount="185">
  <si>
    <t>Component Type</t>
  </si>
  <si>
    <t>Value</t>
  </si>
  <si>
    <t>Reference Designators</t>
  </si>
  <si>
    <t>Manufacturer</t>
  </si>
  <si>
    <t>Man. Part Number</t>
  </si>
  <si>
    <t>Dept. stock</t>
  </si>
  <si>
    <t>Supplier</t>
  </si>
  <si>
    <t>Stock Available</t>
  </si>
  <si>
    <t>Supplier Part no.</t>
  </si>
  <si>
    <t>Board Quantity</t>
  </si>
  <si>
    <t>Order Quantity</t>
  </si>
  <si>
    <t>MOQ</t>
  </si>
  <si>
    <t>Final Order Quantity</t>
  </si>
  <si>
    <t>Price/unit</t>
  </si>
  <si>
    <t>Total Cost</t>
  </si>
  <si>
    <t>Supplier Link</t>
  </si>
  <si>
    <t>ED/Andy Approved</t>
  </si>
  <si>
    <t>Enter number of boards in Cell below:</t>
  </si>
  <si>
    <t>√</t>
  </si>
  <si>
    <t>Order Cost</t>
  </si>
  <si>
    <t>Stock available</t>
  </si>
  <si>
    <t>X</t>
  </si>
  <si>
    <t xml:space="preserve">Extend if you have more different components than this list is long. And even so you should not have more than 75 different components for simple boards </t>
  </si>
  <si>
    <t>Board Number</t>
  </si>
  <si>
    <t>Connector</t>
  </si>
  <si>
    <t xml:space="preserve">Con Hdr 1 x 2 Pin 2.54 Str                                  </t>
  </si>
  <si>
    <t>PL1;PL2;PL3;PL4</t>
  </si>
  <si>
    <t>SK5</t>
  </si>
  <si>
    <t xml:space="preserve">CON JACK SKT 4W 3.5mm RA PC         </t>
  </si>
  <si>
    <t xml:space="preserve">Con BNC Skt 50ohm RA         </t>
  </si>
  <si>
    <t>SK1;SK2;SK3</t>
  </si>
  <si>
    <t xml:space="preserve">Term Block 4W 2.54mm Skt RA PCB                 </t>
  </si>
  <si>
    <t>SK4</t>
  </si>
  <si>
    <t>Capacitor</t>
  </si>
  <si>
    <t>C23</t>
  </si>
  <si>
    <t xml:space="preserve">Cap X7R 100nF 10% 50V                  </t>
  </si>
  <si>
    <t>C1;C2;C3;C4;C6;C7;C8;C9;C10;C11;C12;C13;C15;C16;C17;C18;C21</t>
  </si>
  <si>
    <t>C5</t>
  </si>
  <si>
    <t xml:space="preserve">Cap X5R 1uF 10% 25V            </t>
  </si>
  <si>
    <t xml:space="preserve">Cap X7R 10nF 10% 50V              </t>
  </si>
  <si>
    <t>C14;C19;C20</t>
  </si>
  <si>
    <t xml:space="preserve">Cap C0G 22pF 5% 50V            </t>
  </si>
  <si>
    <t>C22;C24</t>
  </si>
  <si>
    <t>Diode</t>
  </si>
  <si>
    <t xml:space="preserve">DIODE BARRIER 0.2A 30V SCHOTTKY       </t>
  </si>
  <si>
    <t>D5;D6;D7</t>
  </si>
  <si>
    <t>IC</t>
  </si>
  <si>
    <t xml:space="preserve">IC Switch Multiplexer 8 Ch 5-34V                    </t>
  </si>
  <si>
    <t>IC1</t>
  </si>
  <si>
    <t>Potentiometer</t>
  </si>
  <si>
    <t xml:space="preserve">Res Trim 100K 20% 20V 0.05W                     </t>
  </si>
  <si>
    <t>RV1;RV2</t>
  </si>
  <si>
    <t>Resistor</t>
  </si>
  <si>
    <t xml:space="preserve">Res 430R 1% 50V 100ppm 0.1W              </t>
  </si>
  <si>
    <t>R6;R7;R8;R9;R10</t>
  </si>
  <si>
    <t xml:space="preserve">Res 10K0 1% 50V 100ppm 0.1W                </t>
  </si>
  <si>
    <t>R1;R2;R3;R4;R5;R19;R28</t>
  </si>
  <si>
    <t xml:space="preserve">Res 12K0 1% 50V 100ppm 0.1W         </t>
  </si>
  <si>
    <t>R27</t>
  </si>
  <si>
    <t xml:space="preserve">Res 1M00 1% 50V 100ppm 0.1W         </t>
  </si>
  <si>
    <t>R21</t>
  </si>
  <si>
    <t xml:space="preserve">Res 2K2 1% 50V 100ppm 0.1W               </t>
  </si>
  <si>
    <t xml:space="preserve">Res 100K 1% 50V 100ppm 0.1W                    </t>
  </si>
  <si>
    <t>R29</t>
  </si>
  <si>
    <t xml:space="preserve">Res 150K 1% 50V 100ppm 0.1W           </t>
  </si>
  <si>
    <t>R12</t>
  </si>
  <si>
    <t xml:space="preserve">Res 15K0 1% 50V 100ppm 0.1W             </t>
  </si>
  <si>
    <t>R25</t>
  </si>
  <si>
    <t xml:space="preserve">Res 22K0 1% 50V 100ppm 0.1W         </t>
  </si>
  <si>
    <t xml:space="preserve">Res 36K0 1% 50V 100ppm 0.1W                  </t>
  </si>
  <si>
    <t>R23;R30</t>
  </si>
  <si>
    <t xml:space="preserve">Res 39K0 1% 50V 100ppm 0.1W           </t>
  </si>
  <si>
    <t>R24</t>
  </si>
  <si>
    <t xml:space="preserve">Res 43K0 1% 50V 100ppm 0.1W              </t>
  </si>
  <si>
    <t>R22</t>
  </si>
  <si>
    <t xml:space="preserve">Res 62K0 1% 50V 100ppm 0.1W          </t>
  </si>
  <si>
    <t>R31</t>
  </si>
  <si>
    <t xml:space="preserve">LED RD/GN 16mcd@20mA 120 Deg Str                            </t>
  </si>
  <si>
    <t>D1;D2;D3;D4</t>
  </si>
  <si>
    <t>Transistor</t>
  </si>
  <si>
    <t xml:space="preserve">Trans NJ FET 25V 80mA SST108                       </t>
  </si>
  <si>
    <t>TR1</t>
  </si>
  <si>
    <t>Switch</t>
  </si>
  <si>
    <t xml:space="preserve">SWITCH DIL 2 X SPST 100MA          </t>
  </si>
  <si>
    <t>SW1</t>
  </si>
  <si>
    <t xml:space="preserve">Switch DIL 4 x SPST 100mA         </t>
  </si>
  <si>
    <t>SW2</t>
  </si>
  <si>
    <t xml:space="preserve">Res 0R00 1A 50V 0.1W     </t>
  </si>
  <si>
    <t>R14</t>
  </si>
  <si>
    <t>Farnell</t>
  </si>
  <si>
    <t>FC68125</t>
  </si>
  <si>
    <t>CLIFF</t>
  </si>
  <si>
    <t>5227161-3</t>
  </si>
  <si>
    <t>TE-CONNECTIVITY</t>
  </si>
  <si>
    <t>FC68125 CLIFF ELECTRONIC COMPONENTS, Phone Audio Connector, 4 Contacts, Socket | Farnell® UK</t>
  </si>
  <si>
    <t>RS Components</t>
  </si>
  <si>
    <t>710-0466</t>
  </si>
  <si>
    <t>5227161-3 | TE Connectivity, Jack PCB Mount BNC Connector, 50Ω, Through Hole Termination, Right Angle Body | RS</t>
  </si>
  <si>
    <t>282834-4</t>
  </si>
  <si>
    <t>282834-4 BUCHANAN - TE CONNECTIVITY, Wire-To-Board Terminal Block, 2.54 mm, 4 Ways | Farnell® UK</t>
  </si>
  <si>
    <t xml:space="preserve">Cap X5R 100uF 20% 6.3V </t>
  </si>
  <si>
    <t>TDK</t>
  </si>
  <si>
    <t>C1608X5R1H104K080AA</t>
  </si>
  <si>
    <t>C1608X5R1H104K080AA TDK, CAP, 0.1µF, 50V | Farnell® UK</t>
  </si>
  <si>
    <t>AVX</t>
  </si>
  <si>
    <t>06033D105KAT2A</t>
  </si>
  <si>
    <t>06033D105KAT2A KYOCERA AVX, SMD Multilayer Ceramic Capacitor, 1 µF, 25 V | Farnell® UK</t>
  </si>
  <si>
    <t>06035C103K4T2A</t>
  </si>
  <si>
    <t>06035A220JAT2A KYOCERA AVX, SMD Multilayer Ceramic Capacitor, 22 pF, 50 V | Farnell® UK</t>
  </si>
  <si>
    <t>06035A220JAT2A</t>
  </si>
  <si>
    <t>06035C103K4T2A KYOCERA AVX, SMD Multilayer Ceramic Capacitor, 0.01 µF, 50 V | Farnell® UK</t>
  </si>
  <si>
    <t>AVAGO</t>
  </si>
  <si>
    <t>HSMF-A201-A00J1</t>
  </si>
  <si>
    <t>HSMF-A201-A00J1 BROADCOM, LED, PLCC-4, Red | Farnell® UK</t>
  </si>
  <si>
    <t>BAT54S,215 NEXPERIA, Small Signal Schottky Diode, Dual Series, 30 V | Farnell® UK</t>
  </si>
  <si>
    <t>MULTICOMP PRO</t>
  </si>
  <si>
    <t>BOURNS</t>
  </si>
  <si>
    <t>R11;R13;R18;R20</t>
  </si>
  <si>
    <t>MCWR06X4302FTL</t>
  </si>
  <si>
    <t>MCWR06X4302FTL MULTICOMP PRO, SMD Chip Resistor, 43 kohm, ± 1% | Farnell® UK</t>
  </si>
  <si>
    <t>MCWR06X6202FTL</t>
  </si>
  <si>
    <t>MCWR06X6202FTL MULTICOMP PRO, SMD Chip Resistor, 62 kohm, ± 1% | Farnell® UK</t>
  </si>
  <si>
    <t>MCWR06X3902FTL</t>
  </si>
  <si>
    <t>MCWR06X3902FTL MULTICOMP PRO, SMD Chip Resistor, 39 kohm, ± 1% | Farnell® UK</t>
  </si>
  <si>
    <t>MCWR06X3602FTL</t>
  </si>
  <si>
    <t>MCWR06X3602FTL MULTICOMP PRO, SMD Chip Resistor, 36 kohm, ± 1% | Farnell® UK</t>
  </si>
  <si>
    <t>MCWR06X2202FTL</t>
  </si>
  <si>
    <t>MCWR06X2202FTL MULTICOMP PRO, SMD Chip Resistor, 22 kohm, ± 1% | Farnell® UK</t>
  </si>
  <si>
    <t>MCWR06X1502FTL</t>
  </si>
  <si>
    <t>MCWR06X1502FTL MULTICOMP PRO, SMD Chip Resistor, 15 kohm, ± 1% | Farnell® UK</t>
  </si>
  <si>
    <t>MCWR06X1503FTL</t>
  </si>
  <si>
    <t>MCWR06X1503FTL MULTICOMP PRO, SMD Chip Resistor, 150 kohm, ± 1% | Farnell® UK</t>
  </si>
  <si>
    <t>MCWR06X1003FTL</t>
  </si>
  <si>
    <t>MCWR06X1003FTL MULTICOMP PRO, SMD Chip Resistor, 100 kohm, ± 1% | Farnell® UK</t>
  </si>
  <si>
    <t>MCWR06X2201FTL</t>
  </si>
  <si>
    <t>MCWR06X2201FTL MULTICOMP PRO, SMD Chip Resistor, 2.2 kohm, ± 1% | Farnell® UK</t>
  </si>
  <si>
    <t>MCWR06X1004FTL</t>
  </si>
  <si>
    <t>MCWR06X1004FTL MULTICOMP PRO, SMD Chip Resistor, 1 Mohm, ± 1% | Farnell® UK</t>
  </si>
  <si>
    <t>MCWR06X1202FTL</t>
  </si>
  <si>
    <t>MCWR06X1202FTL MULTICOMP PRO, SMD Chip Resistor, 12 kohm, ± 1% | Farnell® UK</t>
  </si>
  <si>
    <t>WR06X1002FTL</t>
  </si>
  <si>
    <t>WR06X1002FTL MULTICOMP PRO, SMD Chip Resistor, 10 kohm, ± 1% | Farnell® UK</t>
  </si>
  <si>
    <t>MCWR06X4300FTL</t>
  </si>
  <si>
    <t>MCWR06X4300FTL MULTICOMP PRO, SMD Chip Resistor, 430 ohm, ± 1% | Farnell® UK</t>
  </si>
  <si>
    <t>STMICROELECTRONICS</t>
  </si>
  <si>
    <t>BAT54SFILM</t>
  </si>
  <si>
    <t>KOA</t>
  </si>
  <si>
    <t>RK73Z1JTTD</t>
  </si>
  <si>
    <t>RK73Z1JTTD KOA, Zero Ohm Resistor, Jumper, 0603 [1608 Metric] | Farnell® UK</t>
  </si>
  <si>
    <t>PTV09A-4020F-B104</t>
  </si>
  <si>
    <t>737-7824P</t>
  </si>
  <si>
    <t>Bourns PTV09 100kΩ Rotary Potentiometer 1-Gang, Panel Mount (Through Hole), PTV09A-4020F-B104 | RS</t>
  </si>
  <si>
    <t>ONSEMI</t>
  </si>
  <si>
    <t>MMBFJ108</t>
  </si>
  <si>
    <t>MMBFJ108 ONSEMI, JFET Transistor, JFET, -25 V | Farnell® UK</t>
  </si>
  <si>
    <t>RENESAS</t>
  </si>
  <si>
    <t>DG408DYZ</t>
  </si>
  <si>
    <t>DG408DYZ RENESAS, Analogue Multiplexer, 8:1, 8 Channels | Farnell® UK</t>
  </si>
  <si>
    <t>IC Amp Op 082</t>
  </si>
  <si>
    <t>TEXAS INSTRUMENTS</t>
  </si>
  <si>
    <t>TL082IP</t>
  </si>
  <si>
    <t>TL082IP TEXAS INSTRUMENTS, Operational Amplifier, 2 Channels, 3 MHz | Farnell® UK</t>
  </si>
  <si>
    <t>IC Socket DIP</t>
  </si>
  <si>
    <t>IC2;IC3;IC4;IC5</t>
  </si>
  <si>
    <t>2227MC-08-03-18-F1</t>
  </si>
  <si>
    <t>2227MC-08-03-18-F1 MULTICOMP PRO, IC &amp; Component Socket, 8 Contacts, DIP Socket | Farnell® UK</t>
  </si>
  <si>
    <t>MCEMR-02-T</t>
  </si>
  <si>
    <t>MCEMR-02-T MULTICOMP PRO, DIP / SIP Switch, 2 Circuits, Slide | Farnell® UK</t>
  </si>
  <si>
    <t>MCEPM-04</t>
  </si>
  <si>
    <t>MCEPM-04 MULTICOMP PRO, DIP Switch, End Stackable, 4 Circuits | Farnell® UK</t>
  </si>
  <si>
    <t>MURATA</t>
  </si>
  <si>
    <t>GRM31CR60J107MEA8K</t>
  </si>
  <si>
    <t>GRM31CR60J107MEA8K MURATA, SMD Multilayer Ceramic Capacitor, 100 µF, 6.3 V | Farnell® UK</t>
  </si>
  <si>
    <t>AMPHENOL</t>
  </si>
  <si>
    <t>77311-101-10LF</t>
  </si>
  <si>
    <t>77311-101-10LF AMPHENOL COMMUNICATIONS SOLUTIONS, Pin Header, Vertical, Board-to-Board | Farnell® UK</t>
  </si>
  <si>
    <t>Res 4k7 1% 50V 100ppm 0.1W</t>
  </si>
  <si>
    <t>R17;R26</t>
  </si>
  <si>
    <t>MCWR06X4701FTL</t>
  </si>
  <si>
    <t>MCWR06X4701FTL MULTICOMP PRO, SMD Chip Resistor, 4.7 kohm, ± 1% | Farnell® UK</t>
  </si>
  <si>
    <t>Res 7k5 1% 50V 100ppm 0.1W</t>
  </si>
  <si>
    <t>R16</t>
  </si>
  <si>
    <t>MCWR06X7501FTL</t>
  </si>
  <si>
    <t>MCWR06X7501FTL MULTICOMP PRO, SMD Chip Resistor, 7.5 kohm, ± 1% | Farnell® UK</t>
  </si>
  <si>
    <t>R15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</si>
</sst>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00_-;\-[$£-809]* #,##0.00_-;_-[$£-809]* &quot;-&quot;??_-;_-@_-"/>
    <numFmt numFmtId="165" formatCode="0.0000"/>
  </numFmts>
  <fonts count="16" x14ac:knownFonts="1">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11"/>
      <color rgb="FF006100"/>
      <name val="Calibri"/>
      <family val="2"/>
      <scheme val="minor"/>
    </font>
    <font>
      <sz val="11"/>
      <color rgb="FF9C0006"/>
      <name val="Calibri"/>
      <family val="2"/>
      <scheme val="minor"/>
    </font>
    <font>
      <sz val="11"/>
      <color rgb="FF9C5700"/>
      <name val="Calibri"/>
      <family val="2"/>
      <scheme val="minor"/>
    </font>
    <font>
      <u/>
      <sz val="11"/>
      <color theme="10"/>
      <name val="Calibri"/>
      <family val="2"/>
      <scheme val="minor"/>
    </font>
    <font>
      <sz val="11"/>
      <color theme="1"/>
      <name val="Calibri"/>
      <family val="2"/>
      <scheme val="minor"/>
    </font>
    <font>
      <b/>
      <sz val="11"/>
      <color rgb="FF3F3F3F"/>
      <name val="Calibri"/>
      <scheme val="minor"/>
    </font>
    <font>
      <b/>
      <sz val="14"/>
      <color theme="1"/>
      <name val="Calibri"/>
      <family val="2"/>
      <scheme val="minor"/>
    </font>
    <font>
      <b/>
      <sz val="11"/>
      <color rgb="FF9C5700"/>
      <name val="Calibri"/>
      <family val="2"/>
      <scheme val="minor"/>
    </font>
    <font>
      <sz val="9"/>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rgb="FFF2F2F2"/>
      </patternFill>
    </fill>
    <fill>
      <patternFill patternType="solid">
        <fgColor rgb="FFFFFF00"/>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diagonal/>
    </border>
  </borders>
  <cellStyleXfs count="7">
    <xf numFmtId="0" fontId="0"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10" fillId="5" borderId="11" applyNumberFormat="0" applyFont="0" applyAlignment="0" applyProtection="0"/>
    <xf numFmtId="0" fontId="11" fillId="6" borderId="12" applyNumberFormat="0" applyAlignment="0" applyProtection="0"/>
  </cellStyleXfs>
  <cellXfs count="35">
    <xf numFmtId="0" fontId="0" fillId="0" borderId="0" xfId="0"/>
    <xf numFmtId="0" fontId="1" fillId="0" borderId="0" xfId="0" applyFont="1"/>
    <xf numFmtId="0" fontId="0" fillId="0" borderId="2" xfId="0" quotePrefix="1" applyBorder="1"/>
    <xf numFmtId="0" fontId="0" fillId="0" borderId="2" xfId="0" applyBorder="1"/>
    <xf numFmtId="0" fontId="8" fillId="4" borderId="1" xfId="3" applyBorder="1"/>
    <xf numFmtId="0" fontId="7" fillId="3" borderId="0" xfId="2"/>
    <xf numFmtId="0" fontId="6" fillId="2" borderId="0" xfId="1"/>
    <xf numFmtId="0" fontId="0" fillId="0" borderId="3" xfId="0" applyBorder="1"/>
    <xf numFmtId="0" fontId="0" fillId="0" borderId="4" xfId="0" applyBorder="1"/>
    <xf numFmtId="0" fontId="1" fillId="0" borderId="2" xfId="0" applyFont="1" applyBorder="1"/>
    <xf numFmtId="0" fontId="0" fillId="0" borderId="5" xfId="0" applyBorder="1"/>
    <xf numFmtId="0" fontId="1" fillId="0" borderId="3" xfId="0" applyFont="1" applyBorder="1"/>
    <xf numFmtId="0" fontId="0" fillId="0" borderId="7" xfId="0" applyBorder="1"/>
    <xf numFmtId="0" fontId="0" fillId="0" borderId="8" xfId="0" quotePrefix="1" applyBorder="1"/>
    <xf numFmtId="0" fontId="0" fillId="0" borderId="9" xfId="0" quotePrefix="1" applyBorder="1"/>
    <xf numFmtId="0" fontId="0" fillId="0" borderId="9" xfId="0" applyBorder="1"/>
    <xf numFmtId="0" fontId="0" fillId="0" borderId="10" xfId="0" quotePrefix="1" applyBorder="1"/>
    <xf numFmtId="0" fontId="1" fillId="7" borderId="13" xfId="0" applyFont="1" applyFill="1" applyBorder="1"/>
    <xf numFmtId="0" fontId="11" fillId="7" borderId="13" xfId="6" applyFill="1" applyBorder="1"/>
    <xf numFmtId="0" fontId="0" fillId="0" borderId="14" xfId="0" applyBorder="1"/>
    <xf numFmtId="0" fontId="1" fillId="0" borderId="6" xfId="0" applyFont="1" applyBorder="1"/>
    <xf numFmtId="0" fontId="13" fillId="4" borderId="1" xfId="3" applyFont="1" applyBorder="1"/>
    <xf numFmtId="0" fontId="14" fillId="0" borderId="0" xfId="0" applyFont="1"/>
    <xf numFmtId="0" fontId="12" fillId="5" borderId="13" xfId="5" applyFont="1" applyBorder="1"/>
    <xf numFmtId="49" fontId="11" fillId="7" borderId="13" xfId="6" applyNumberForma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5" fillId="5" borderId="13" xfId="5" applyFont="1" applyBorder="1"/>
    <xf numFmtId="0" fontId="1" fillId="0" borderId="2" xfId="0" applyFont="1" applyBorder="1" applyAlignment="1">
      <alignment wrapText="1"/>
    </xf>
    <xf numFmtId="164" fontId="0" fillId="0" borderId="2" xfId="0" applyNumberFormat="1" applyBorder="1"/>
    <xf numFmtId="0" fontId="9" fillId="0" borderId="0" xfId="4"/>
    <xf numFmtId="0" fontId="0" fillId="0" borderId="9" xfId="0" quotePrefix="1" applyBorder="1" applyAlignment="1">
      <alignment horizontal="right"/>
    </xf>
    <xf numFmtId="0" fontId="0" fillId="0" borderId="2" xfId="0" quotePrefix="1" applyBorder="1" applyAlignment="1">
      <alignment wrapText="1"/>
    </xf>
    <xf numFmtId="165" fontId="0" fillId="0" borderId="6" xfId="0" applyNumberFormat="1" applyBorder="1"/>
    <xf numFmtId="165" fontId="0" fillId="0" borderId="15" xfId="0" applyNumberFormat="1" applyBorder="1"/>
  </cellXfs>
  <cellStyles count="7">
    <cellStyle name="Bad" xfId="2" builtinId="27"/>
    <cellStyle name="Good" xfId="1" builtinId="26"/>
    <cellStyle name="Hyperlink" xfId="4" builtinId="8"/>
    <cellStyle name="Neutral" xfId="3" builtinId="28"/>
    <cellStyle name="Normal" xfId="0" builtinId="0"/>
    <cellStyle name="Note" xfId="5" builtinId="10"/>
    <cellStyle name="Output" xfId="6" builtinId="21"/>
  </cellStyles>
  <dxfs count="4">
    <dxf>
      <fill>
        <patternFill patternType="solid">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3346D-C8C7-431A-87BD-F138AD591C43}" name="Table2" displayName="Table2" ref="C48:C50" totalsRowShown="0">
  <autoFilter ref="C48:C50" xr:uid="{6823346D-C8C7-431A-87BD-F138AD591C43}"/>
  <tableColumns count="1">
    <tableColumn id="1" xr3:uid="{3D054846-007C-497E-B5A3-C2732266A995}" name="Stock availab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86B630-9DFA-4BC9-A7AC-64E3ABA1021F}" name="Table1" displayName="Table1" ref="R67:R172" totalsRowShown="0">
  <autoFilter ref="R67:R172" xr:uid="{3B86B630-9DFA-4BC9-A7AC-64E3ABA1021F}"/>
  <tableColumns count="1">
    <tableColumn id="1" xr3:uid="{AE90BC9E-6BB8-4424-971D-003834AD0320}" name="Board Number"/>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k.farnell.com/broadcom/hsmf-a201-a00j1/led-smd-plcc4-red-grn/dp/1058420?CMP=KNC-MUK-GEN-SKU&amp;msclkid=14ef619dd2301c6a874f08fb99ac31f5" TargetMode="External"/><Relationship Id="rId13" Type="http://schemas.openxmlformats.org/officeDocument/2006/relationships/hyperlink" Target="https://uk.farnell.com/multicomp-pro/mcwr06x3602ftl/res-36k-1-0-1w-thick-film/dp/2447349" TargetMode="External"/><Relationship Id="rId18" Type="http://schemas.openxmlformats.org/officeDocument/2006/relationships/hyperlink" Target="https://uk.farnell.com/multicomp-pro/mcwr06x2201ftl/res-2k2-1-0-1w-0603-thick-film/dp/2447320" TargetMode="External"/><Relationship Id="rId26" Type="http://schemas.openxmlformats.org/officeDocument/2006/relationships/hyperlink" Target="https://uk.farnell.com/renesas/dg408dyz/8ch-analog-mux-smd-soic16-408/dp/9663827?MER=BR-MER-PDP-RECO-STM72194" TargetMode="External"/><Relationship Id="rId39" Type="http://schemas.openxmlformats.org/officeDocument/2006/relationships/comments" Target="../comments1.xml"/><Relationship Id="rId3" Type="http://schemas.openxmlformats.org/officeDocument/2006/relationships/hyperlink" Target="https://uk.farnell.com/buchanan-te-connectivity/282834-4/terminal-block-wire-to-brd-4pos/dp/2396253" TargetMode="External"/><Relationship Id="rId21" Type="http://schemas.openxmlformats.org/officeDocument/2006/relationships/hyperlink" Target="https://uk.farnell.com/multicomp-pro/wr06x1002ftl/res-10k-1-75v-0603-thick-film/dp/2502397" TargetMode="External"/><Relationship Id="rId34" Type="http://schemas.openxmlformats.org/officeDocument/2006/relationships/hyperlink" Target="https://uk.farnell.com/multicomp-pro/mcwr06x7501ftl/res-7k5-1-0-1w-0603-thick-film/dp/2447435" TargetMode="External"/><Relationship Id="rId7" Type="http://schemas.openxmlformats.org/officeDocument/2006/relationships/hyperlink" Target="https://uk.farnell.com/avx/06035c103k4t2a/cap-0-01-f-50v-10-x7r-0603/dp/2332637" TargetMode="External"/><Relationship Id="rId12" Type="http://schemas.openxmlformats.org/officeDocument/2006/relationships/hyperlink" Target="https://uk.farnell.com/multicomp-pro/mcwr06x3902ftl/res-39k-1-0-1w-thick-film/dp/2447354" TargetMode="External"/><Relationship Id="rId17" Type="http://schemas.openxmlformats.org/officeDocument/2006/relationships/hyperlink" Target="https://uk.farnell.com/multicomp-pro/mcwr06x1003ftl/res-100k-1-0-1w-0603-thick-film/dp/2447226" TargetMode="External"/><Relationship Id="rId25" Type="http://schemas.openxmlformats.org/officeDocument/2006/relationships/hyperlink" Target="https://uk.farnell.com/on-semiconductor/mmbfj108/jfet-n-channel-25v-sot-23/dp/2453373" TargetMode="External"/><Relationship Id="rId33" Type="http://schemas.openxmlformats.org/officeDocument/2006/relationships/hyperlink" Target="https://uk.farnell.com/multicomp-pro/mcwr06x4701ftl/res-4k7-1-0-1w-0603-thick-film/dp/2447385" TargetMode="External"/><Relationship Id="rId38" Type="http://schemas.openxmlformats.org/officeDocument/2006/relationships/table" Target="../tables/table2.xml"/><Relationship Id="rId2" Type="http://schemas.openxmlformats.org/officeDocument/2006/relationships/hyperlink" Target="https://uk.rs-online.com/web/p/coaxial-connectors/7100466?gb=s" TargetMode="External"/><Relationship Id="rId16" Type="http://schemas.openxmlformats.org/officeDocument/2006/relationships/hyperlink" Target="https://uk.farnell.com/multicomp-pro/mcwr06x1503ftl/res-150k-1-0-1w-thick-film/dp/2447254" TargetMode="External"/><Relationship Id="rId20" Type="http://schemas.openxmlformats.org/officeDocument/2006/relationships/hyperlink" Target="https://uk.farnell.com/multicomp-pro/mcwr06x1202ftl/res-12k-1-0-1w-thick-film/dp/2447243" TargetMode="External"/><Relationship Id="rId29" Type="http://schemas.openxmlformats.org/officeDocument/2006/relationships/hyperlink" Target="https://uk.farnell.com/multicomp-pro/mcemr-02-t/switch-2-way-spst-flush/dp/1524005" TargetMode="External"/><Relationship Id="rId1" Type="http://schemas.openxmlformats.org/officeDocument/2006/relationships/hyperlink" Target="https://uk.farnell.com/cliff-electronic-components/fc68125/connector-phono-3-5mm-jack-4pole/dp/2309468" TargetMode="External"/><Relationship Id="rId6" Type="http://schemas.openxmlformats.org/officeDocument/2006/relationships/hyperlink" Target="https://uk.farnell.com/avx/06035a220jat2a/cap-22pf-50v-5-c0g-np0-0603/dp/498543" TargetMode="External"/><Relationship Id="rId11" Type="http://schemas.openxmlformats.org/officeDocument/2006/relationships/hyperlink" Target="https://uk.farnell.com/multicomp-pro/mcwr06x6202ftl/res-62k-1-0-1w-thick-film/dp/2447414" TargetMode="External"/><Relationship Id="rId24" Type="http://schemas.openxmlformats.org/officeDocument/2006/relationships/hyperlink" Target="https://uk.rs-online.com/web/p/potentiometers/7377824P" TargetMode="External"/><Relationship Id="rId32" Type="http://schemas.openxmlformats.org/officeDocument/2006/relationships/hyperlink" Target="https://uk.farnell.com/amphenol-communications-solutions/77311-101-10lf/header-vert-10way/dp/1622254" TargetMode="External"/><Relationship Id="rId37" Type="http://schemas.openxmlformats.org/officeDocument/2006/relationships/table" Target="../tables/table1.xml"/><Relationship Id="rId5" Type="http://schemas.openxmlformats.org/officeDocument/2006/relationships/hyperlink" Target="https://uk.farnell.com/avx/06033d105kat2a/cap-1-f-25v-10-x5r-0603/dp/1658868" TargetMode="External"/><Relationship Id="rId15" Type="http://schemas.openxmlformats.org/officeDocument/2006/relationships/hyperlink" Target="https://uk.farnell.com/multicomp-pro/mcwr06x1502ftl/res-15k-1-0-1w-thick-film/dp/2447256" TargetMode="External"/><Relationship Id="rId23" Type="http://schemas.openxmlformats.org/officeDocument/2006/relationships/hyperlink" Target="https://uk.farnell.com/koa/rk73z1jttd/res-jumper-2a-thick-film-0603/dp/4009217" TargetMode="External"/><Relationship Id="rId28" Type="http://schemas.openxmlformats.org/officeDocument/2006/relationships/hyperlink" Target="https://uk.farnell.com/multicomp-pro/2227mc-08-03-18-f1/socket-ic-dil-0-3-8way/dp/1103844" TargetMode="External"/><Relationship Id="rId36" Type="http://schemas.openxmlformats.org/officeDocument/2006/relationships/vmlDrawing" Target="../drawings/vmlDrawing1.vml"/><Relationship Id="rId10" Type="http://schemas.openxmlformats.org/officeDocument/2006/relationships/hyperlink" Target="https://uk.farnell.com/multicomp-pro/mcwr06x4302ftl/res-43k-1-0-1w-thick-film/dp/2447372?MER=sy-me-pd-mi-alte" TargetMode="External"/><Relationship Id="rId19" Type="http://schemas.openxmlformats.org/officeDocument/2006/relationships/hyperlink" Target="https://uk.farnell.com/multicomp-pro/mcwr06x1004ftl/res-1m-1-0-1w-0603-thick-film/dp/2447285" TargetMode="External"/><Relationship Id="rId31" Type="http://schemas.openxmlformats.org/officeDocument/2006/relationships/hyperlink" Target="https://uk.farnell.com/murata/grm31cr60j107mea8k/cap-100uf-6-3v-1206-x5r/dp/4128563" TargetMode="External"/><Relationship Id="rId4" Type="http://schemas.openxmlformats.org/officeDocument/2006/relationships/hyperlink" Target="https://uk.farnell.com/tdk/c1608x5r1h104k080aa/cap-0-1-f-50v-10-x5r-0603/dp/2211177" TargetMode="External"/><Relationship Id="rId9" Type="http://schemas.openxmlformats.org/officeDocument/2006/relationships/hyperlink" Target="https://uk.farnell.com/nexperia/bat54s-215/diode-schoty-dual-30v-0-2a-sot23/dp/1081194" TargetMode="External"/><Relationship Id="rId14" Type="http://schemas.openxmlformats.org/officeDocument/2006/relationships/hyperlink" Target="https://uk.farnell.com/multicomp-pro/mcwr06x2202ftl/res-22k-1-0-1w-0603-thick-film/dp/2447299" TargetMode="External"/><Relationship Id="rId22" Type="http://schemas.openxmlformats.org/officeDocument/2006/relationships/hyperlink" Target="https://uk.farnell.com/multicomp-pro/mcwr06x4300ftl/res-430r-1-0-1w-thick-film/dp/2447371" TargetMode="External"/><Relationship Id="rId27" Type="http://schemas.openxmlformats.org/officeDocument/2006/relationships/hyperlink" Target="https://uk.farnell.com/texas-instruments/tl082ip/ic-op-amp-dual/dp/3117817" TargetMode="External"/><Relationship Id="rId30" Type="http://schemas.openxmlformats.org/officeDocument/2006/relationships/hyperlink" Target="https://uk.farnell.com/multicomp-pro/mcepm-04/switch-dil-piano-smd-4way/dp/1522023" TargetMode="External"/><Relationship Id="rId35"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87CD-71AB-4A7A-8967-0A56E8876832}">
  <sheetPr>
    <pageSetUpPr fitToPage="1"/>
  </sheetPr>
  <dimension ref="A2:S142"/>
  <sheetViews>
    <sheetView tabSelected="1" zoomScale="85" zoomScaleNormal="85" workbookViewId="0">
      <selection activeCell="M4" sqref="M4"/>
    </sheetView>
  </sheetViews>
  <sheetFormatPr defaultRowHeight="14.4" x14ac:dyDescent="0.3"/>
  <cols>
    <col min="1" max="1" width="16" bestFit="1" customWidth="1"/>
    <col min="2" max="2" width="52.5546875" customWidth="1"/>
    <col min="3" max="3" width="21.6640625" customWidth="1"/>
    <col min="4" max="4" width="20.5546875" hidden="1" customWidth="1"/>
    <col min="5" max="5" width="21.109375" hidden="1" customWidth="1"/>
    <col min="6" max="6" width="11.109375" hidden="1" customWidth="1"/>
    <col min="7" max="7" width="14.44140625" bestFit="1" customWidth="1"/>
    <col min="8" max="8" width="10.33203125" customWidth="1"/>
    <col min="9" max="9" width="14.5546875" customWidth="1"/>
    <col min="10" max="10" width="8.88671875" customWidth="1"/>
    <col min="11" max="11" width="9.6640625" customWidth="1"/>
    <col min="12" max="12" width="6.33203125" customWidth="1"/>
    <col min="13" max="13" width="9.5546875" customWidth="1"/>
    <col min="14" max="14" width="12" customWidth="1"/>
    <col min="15" max="15" width="11.44140625" bestFit="1" customWidth="1"/>
    <col min="16" max="16" width="112" customWidth="1"/>
    <col min="17" max="17" width="2.33203125" customWidth="1"/>
    <col min="18" max="18" width="5" customWidth="1"/>
    <col min="19" max="19" width="5.5546875" customWidth="1"/>
  </cols>
  <sheetData>
    <row r="2" spans="1:19" s="1" customFormat="1" ht="43.2" x14ac:dyDescent="0.3">
      <c r="A2" s="9" t="s">
        <v>0</v>
      </c>
      <c r="B2" s="9" t="s">
        <v>1</v>
      </c>
      <c r="C2" s="9" t="s">
        <v>2</v>
      </c>
      <c r="D2" s="9" t="s">
        <v>3</v>
      </c>
      <c r="E2" s="9" t="s">
        <v>4</v>
      </c>
      <c r="F2" s="9" t="s">
        <v>5</v>
      </c>
      <c r="G2" s="9" t="s">
        <v>6</v>
      </c>
      <c r="H2" s="28" t="s">
        <v>7</v>
      </c>
      <c r="I2" s="11" t="s">
        <v>8</v>
      </c>
      <c r="J2" s="25" t="s">
        <v>9</v>
      </c>
      <c r="K2" s="26" t="s">
        <v>10</v>
      </c>
      <c r="L2" s="17" t="s">
        <v>11</v>
      </c>
      <c r="M2" s="24" t="s">
        <v>12</v>
      </c>
      <c r="N2" s="20" t="s">
        <v>13</v>
      </c>
      <c r="O2" s="9" t="s">
        <v>14</v>
      </c>
      <c r="P2" s="9" t="s">
        <v>15</v>
      </c>
      <c r="Q2" s="9" t="s">
        <v>16</v>
      </c>
      <c r="S2" s="21" t="s">
        <v>17</v>
      </c>
    </row>
    <row r="3" spans="1:19" x14ac:dyDescent="0.3">
      <c r="A3" s="3" t="s">
        <v>24</v>
      </c>
      <c r="B3" t="s">
        <v>25</v>
      </c>
      <c r="C3" s="2" t="s">
        <v>26</v>
      </c>
      <c r="D3" s="2" t="s">
        <v>173</v>
      </c>
      <c r="E3" s="2" t="s">
        <v>174</v>
      </c>
      <c r="F3" s="3"/>
      <c r="G3" s="2" t="s">
        <v>89</v>
      </c>
      <c r="H3" s="10" t="s">
        <v>21</v>
      </c>
      <c r="I3" s="13">
        <v>1622254</v>
      </c>
      <c r="J3" s="7">
        <v>1</v>
      </c>
      <c r="K3" s="19">
        <v>4</v>
      </c>
      <c r="L3" s="18">
        <v>10</v>
      </c>
      <c r="M3" s="18">
        <f>IF(H3&lt;&gt;"√",CEILING(K3,L3),0)</f>
        <v>10</v>
      </c>
      <c r="N3" s="33">
        <v>0.52200000000000002</v>
      </c>
      <c r="O3" s="29">
        <f>M3*N3</f>
        <v>5.2200000000000006</v>
      </c>
      <c r="P3" s="30" t="s">
        <v>175</v>
      </c>
      <c r="Q3" s="3"/>
      <c r="S3" s="4">
        <v>1</v>
      </c>
    </row>
    <row r="4" spans="1:19" x14ac:dyDescent="0.3">
      <c r="A4" s="3" t="s">
        <v>24</v>
      </c>
      <c r="B4" s="2" t="s">
        <v>28</v>
      </c>
      <c r="C4" s="2" t="s">
        <v>27</v>
      </c>
      <c r="D4" s="2" t="s">
        <v>91</v>
      </c>
      <c r="E4" s="2" t="s">
        <v>90</v>
      </c>
      <c r="F4" s="3"/>
      <c r="G4" s="2" t="s">
        <v>89</v>
      </c>
      <c r="H4" s="10" t="s">
        <v>18</v>
      </c>
      <c r="I4" s="31">
        <v>2309468</v>
      </c>
      <c r="J4" s="12">
        <v>1</v>
      </c>
      <c r="K4" s="19">
        <v>1</v>
      </c>
      <c r="L4" s="18">
        <v>1</v>
      </c>
      <c r="M4" s="18">
        <f t="shared" ref="M4:M36" si="0">IF(H4&lt;&gt;"√",CEILING(K4,L4),0)</f>
        <v>0</v>
      </c>
      <c r="N4" s="33">
        <v>1.73</v>
      </c>
      <c r="O4" s="29">
        <f>M4*N4</f>
        <v>0</v>
      </c>
      <c r="P4" s="30" t="s">
        <v>94</v>
      </c>
      <c r="Q4" s="3"/>
    </row>
    <row r="5" spans="1:19" x14ac:dyDescent="0.3">
      <c r="A5" s="3" t="s">
        <v>24</v>
      </c>
      <c r="B5" s="2" t="s">
        <v>29</v>
      </c>
      <c r="C5" s="2" t="s">
        <v>30</v>
      </c>
      <c r="D5" s="2" t="s">
        <v>93</v>
      </c>
      <c r="E5" s="2" t="s">
        <v>92</v>
      </c>
      <c r="F5" s="3"/>
      <c r="G5" s="2" t="s">
        <v>95</v>
      </c>
      <c r="H5" s="10" t="s">
        <v>21</v>
      </c>
      <c r="I5" s="31" t="s">
        <v>96</v>
      </c>
      <c r="J5" s="12">
        <v>3</v>
      </c>
      <c r="K5" s="19">
        <v>3</v>
      </c>
      <c r="L5" s="18">
        <v>1</v>
      </c>
      <c r="M5" s="18">
        <f t="shared" si="0"/>
        <v>3</v>
      </c>
      <c r="N5" s="33">
        <v>3.44</v>
      </c>
      <c r="O5" s="29">
        <f t="shared" ref="O4:O36" si="1">M5*N5</f>
        <v>10.32</v>
      </c>
      <c r="P5" s="30" t="s">
        <v>97</v>
      </c>
      <c r="Q5" s="3"/>
    </row>
    <row r="6" spans="1:19" x14ac:dyDescent="0.3">
      <c r="A6" s="3" t="s">
        <v>24</v>
      </c>
      <c r="B6" s="2" t="s">
        <v>31</v>
      </c>
      <c r="C6" s="2" t="s">
        <v>32</v>
      </c>
      <c r="D6" s="2" t="s">
        <v>93</v>
      </c>
      <c r="E6" s="2" t="s">
        <v>98</v>
      </c>
      <c r="F6" s="3"/>
      <c r="G6" s="2" t="s">
        <v>89</v>
      </c>
      <c r="H6" s="10" t="s">
        <v>21</v>
      </c>
      <c r="I6" s="14">
        <v>2396253</v>
      </c>
      <c r="J6" s="12">
        <v>1</v>
      </c>
      <c r="K6" s="19">
        <v>1</v>
      </c>
      <c r="L6" s="18">
        <v>1</v>
      </c>
      <c r="M6" s="18">
        <f t="shared" si="0"/>
        <v>1</v>
      </c>
      <c r="N6" s="33">
        <v>2.71</v>
      </c>
      <c r="O6" s="29">
        <f t="shared" si="1"/>
        <v>2.71</v>
      </c>
      <c r="P6" s="30" t="s">
        <v>99</v>
      </c>
      <c r="Q6" s="3"/>
    </row>
    <row r="7" spans="1:19" x14ac:dyDescent="0.3">
      <c r="A7" s="3" t="s">
        <v>33</v>
      </c>
      <c r="B7" s="3" t="s">
        <v>100</v>
      </c>
      <c r="C7" s="2" t="s">
        <v>34</v>
      </c>
      <c r="D7" s="3" t="s">
        <v>170</v>
      </c>
      <c r="E7" s="3" t="s">
        <v>171</v>
      </c>
      <c r="F7" s="3"/>
      <c r="G7" s="3" t="s">
        <v>89</v>
      </c>
      <c r="H7" s="10" t="s">
        <v>21</v>
      </c>
      <c r="I7" s="15">
        <v>4128563</v>
      </c>
      <c r="J7" s="12">
        <v>1</v>
      </c>
      <c r="K7" s="19">
        <v>1</v>
      </c>
      <c r="L7" s="18">
        <v>10</v>
      </c>
      <c r="M7" s="18">
        <f t="shared" si="0"/>
        <v>10</v>
      </c>
      <c r="N7" s="33">
        <v>0.17100000000000001</v>
      </c>
      <c r="O7" s="29">
        <f t="shared" si="1"/>
        <v>1.7100000000000002</v>
      </c>
      <c r="P7" s="30" t="s">
        <v>172</v>
      </c>
      <c r="Q7" s="3"/>
    </row>
    <row r="8" spans="1:19" ht="42" customHeight="1" x14ac:dyDescent="0.3">
      <c r="A8" s="3" t="s">
        <v>33</v>
      </c>
      <c r="B8" s="3" t="s">
        <v>35</v>
      </c>
      <c r="C8" s="32" t="s">
        <v>36</v>
      </c>
      <c r="D8" s="2" t="s">
        <v>101</v>
      </c>
      <c r="E8" s="3" t="s">
        <v>102</v>
      </c>
      <c r="F8" s="3"/>
      <c r="G8" s="3" t="s">
        <v>89</v>
      </c>
      <c r="H8" s="10" t="s">
        <v>21</v>
      </c>
      <c r="I8" s="15">
        <v>2211177</v>
      </c>
      <c r="J8" s="12">
        <v>17</v>
      </c>
      <c r="K8" s="19">
        <v>17</v>
      </c>
      <c r="L8" s="18">
        <v>10</v>
      </c>
      <c r="M8" s="18">
        <f t="shared" si="0"/>
        <v>20</v>
      </c>
      <c r="N8" s="33">
        <v>2.8799999999999999E-2</v>
      </c>
      <c r="O8" s="29">
        <f t="shared" si="1"/>
        <v>0.57599999999999996</v>
      </c>
      <c r="P8" s="30" t="s">
        <v>103</v>
      </c>
      <c r="Q8" s="3"/>
    </row>
    <row r="9" spans="1:19" x14ac:dyDescent="0.3">
      <c r="A9" s="3" t="s">
        <v>33</v>
      </c>
      <c r="B9" s="3" t="s">
        <v>38</v>
      </c>
      <c r="C9" s="2" t="s">
        <v>37</v>
      </c>
      <c r="D9" s="2" t="s">
        <v>104</v>
      </c>
      <c r="E9" s="2" t="s">
        <v>105</v>
      </c>
      <c r="F9" s="3"/>
      <c r="G9" s="2" t="s">
        <v>89</v>
      </c>
      <c r="H9" s="10" t="s">
        <v>21</v>
      </c>
      <c r="I9" s="14">
        <v>1658868</v>
      </c>
      <c r="J9" s="12">
        <v>1</v>
      </c>
      <c r="K9" s="19">
        <v>1</v>
      </c>
      <c r="L9" s="18">
        <v>10</v>
      </c>
      <c r="M9" s="18">
        <f t="shared" si="0"/>
        <v>10</v>
      </c>
      <c r="N9" s="33">
        <v>0.114</v>
      </c>
      <c r="O9" s="29">
        <f t="shared" si="1"/>
        <v>1.1400000000000001</v>
      </c>
      <c r="P9" s="30" t="s">
        <v>106</v>
      </c>
      <c r="Q9" s="3"/>
    </row>
    <row r="10" spans="1:19" x14ac:dyDescent="0.3">
      <c r="A10" s="3" t="s">
        <v>33</v>
      </c>
      <c r="B10" s="3" t="s">
        <v>39</v>
      </c>
      <c r="C10" s="2" t="s">
        <v>40</v>
      </c>
      <c r="D10" s="2" t="s">
        <v>104</v>
      </c>
      <c r="E10" s="2" t="s">
        <v>107</v>
      </c>
      <c r="F10" s="3"/>
      <c r="G10" s="2" t="s">
        <v>89</v>
      </c>
      <c r="H10" s="10" t="s">
        <v>18</v>
      </c>
      <c r="I10" s="14">
        <v>2332637</v>
      </c>
      <c r="J10" s="12">
        <v>3</v>
      </c>
      <c r="K10" s="19">
        <v>3</v>
      </c>
      <c r="L10" s="18">
        <v>10</v>
      </c>
      <c r="M10" s="18">
        <f t="shared" si="0"/>
        <v>0</v>
      </c>
      <c r="N10" s="33">
        <v>7.4399999999999994E-2</v>
      </c>
      <c r="O10" s="29">
        <f t="shared" si="1"/>
        <v>0</v>
      </c>
      <c r="P10" s="30" t="s">
        <v>110</v>
      </c>
      <c r="Q10" s="3"/>
    </row>
    <row r="11" spans="1:19" x14ac:dyDescent="0.3">
      <c r="A11" s="3" t="s">
        <v>33</v>
      </c>
      <c r="B11" s="3" t="s">
        <v>41</v>
      </c>
      <c r="C11" t="s">
        <v>42</v>
      </c>
      <c r="D11" s="2" t="s">
        <v>104</v>
      </c>
      <c r="E11" s="2" t="s">
        <v>109</v>
      </c>
      <c r="F11" s="3"/>
      <c r="G11" s="2" t="s">
        <v>89</v>
      </c>
      <c r="H11" s="10" t="s">
        <v>18</v>
      </c>
      <c r="I11" s="14">
        <v>498543</v>
      </c>
      <c r="J11" s="12">
        <v>2</v>
      </c>
      <c r="K11" s="19">
        <v>2</v>
      </c>
      <c r="L11" s="18">
        <v>10</v>
      </c>
      <c r="M11" s="18">
        <f t="shared" si="0"/>
        <v>0</v>
      </c>
      <c r="N11" s="33">
        <v>0.02</v>
      </c>
      <c r="O11" s="29">
        <f t="shared" si="1"/>
        <v>0</v>
      </c>
      <c r="P11" s="30" t="s">
        <v>108</v>
      </c>
      <c r="Q11" s="3"/>
    </row>
    <row r="12" spans="1:19" x14ac:dyDescent="0.3">
      <c r="A12" s="3" t="s">
        <v>43</v>
      </c>
      <c r="B12" t="s">
        <v>77</v>
      </c>
      <c r="C12" s="2" t="s">
        <v>78</v>
      </c>
      <c r="D12" s="2" t="s">
        <v>111</v>
      </c>
      <c r="E12" s="2" t="s">
        <v>112</v>
      </c>
      <c r="F12" s="3"/>
      <c r="G12" s="2" t="s">
        <v>89</v>
      </c>
      <c r="H12" s="10" t="s">
        <v>21</v>
      </c>
      <c r="I12" s="14">
        <v>1058420</v>
      </c>
      <c r="J12" s="12">
        <v>4</v>
      </c>
      <c r="K12" s="19">
        <v>4</v>
      </c>
      <c r="L12" s="18">
        <v>5</v>
      </c>
      <c r="M12" s="18">
        <f t="shared" si="0"/>
        <v>5</v>
      </c>
      <c r="N12" s="33">
        <v>0.64500000000000002</v>
      </c>
      <c r="O12" s="29">
        <f t="shared" si="1"/>
        <v>3.2250000000000001</v>
      </c>
      <c r="P12" s="30" t="s">
        <v>113</v>
      </c>
      <c r="Q12" s="3"/>
    </row>
    <row r="13" spans="1:19" x14ac:dyDescent="0.3">
      <c r="A13" s="3" t="s">
        <v>43</v>
      </c>
      <c r="B13" s="2" t="s">
        <v>44</v>
      </c>
      <c r="C13" s="2" t="s">
        <v>45</v>
      </c>
      <c r="D13" s="2" t="s">
        <v>144</v>
      </c>
      <c r="E13" s="2" t="s">
        <v>145</v>
      </c>
      <c r="F13" s="3"/>
      <c r="G13" s="2" t="s">
        <v>89</v>
      </c>
      <c r="H13" s="10" t="s">
        <v>21</v>
      </c>
      <c r="I13" s="14">
        <v>9801510</v>
      </c>
      <c r="J13" s="12">
        <v>3</v>
      </c>
      <c r="K13" s="19">
        <v>3</v>
      </c>
      <c r="L13" s="18">
        <v>5</v>
      </c>
      <c r="M13" s="18">
        <f t="shared" si="0"/>
        <v>5</v>
      </c>
      <c r="N13" s="33">
        <v>0.21099999999999999</v>
      </c>
      <c r="O13" s="29">
        <f t="shared" si="1"/>
        <v>1.0549999999999999</v>
      </c>
      <c r="P13" s="30" t="s">
        <v>114</v>
      </c>
      <c r="Q13" s="3"/>
    </row>
    <row r="14" spans="1:19" x14ac:dyDescent="0.3">
      <c r="A14" s="3" t="s">
        <v>52</v>
      </c>
      <c r="B14" s="2" t="s">
        <v>53</v>
      </c>
      <c r="C14" s="2" t="s">
        <v>54</v>
      </c>
      <c r="D14" s="2" t="s">
        <v>115</v>
      </c>
      <c r="E14" s="2" t="s">
        <v>142</v>
      </c>
      <c r="F14" s="3"/>
      <c r="G14" s="2" t="s">
        <v>89</v>
      </c>
      <c r="H14" s="10" t="s">
        <v>18</v>
      </c>
      <c r="I14" s="14">
        <v>2447371</v>
      </c>
      <c r="J14" s="12">
        <v>5</v>
      </c>
      <c r="K14" s="19">
        <v>5</v>
      </c>
      <c r="L14" s="18">
        <v>10</v>
      </c>
      <c r="M14" s="18">
        <f t="shared" si="0"/>
        <v>0</v>
      </c>
      <c r="N14" s="33">
        <v>4.4000000000000003E-3</v>
      </c>
      <c r="O14" s="29">
        <f t="shared" si="1"/>
        <v>0</v>
      </c>
      <c r="P14" s="30" t="s">
        <v>143</v>
      </c>
      <c r="Q14" s="3"/>
    </row>
    <row r="15" spans="1:19" x14ac:dyDescent="0.3">
      <c r="A15" s="3" t="s">
        <v>52</v>
      </c>
      <c r="B15" s="2" t="s">
        <v>55</v>
      </c>
      <c r="C15" s="2" t="s">
        <v>56</v>
      </c>
      <c r="D15" s="2" t="s">
        <v>115</v>
      </c>
      <c r="E15" s="2" t="s">
        <v>140</v>
      </c>
      <c r="F15" s="3"/>
      <c r="G15" s="2" t="s">
        <v>89</v>
      </c>
      <c r="H15" s="10" t="s">
        <v>21</v>
      </c>
      <c r="I15" s="14">
        <v>2502397</v>
      </c>
      <c r="J15" s="12">
        <v>7</v>
      </c>
      <c r="K15" s="19">
        <v>7</v>
      </c>
      <c r="L15" s="18">
        <v>10</v>
      </c>
      <c r="M15" s="18">
        <f t="shared" si="0"/>
        <v>10</v>
      </c>
      <c r="N15" s="33">
        <v>6.1999999999999998E-3</v>
      </c>
      <c r="O15" s="29">
        <f t="shared" si="1"/>
        <v>6.2E-2</v>
      </c>
      <c r="P15" s="30" t="s">
        <v>141</v>
      </c>
      <c r="Q15" s="3"/>
    </row>
    <row r="16" spans="1:19" x14ac:dyDescent="0.3">
      <c r="A16" s="3" t="s">
        <v>52</v>
      </c>
      <c r="B16" s="2" t="s">
        <v>57</v>
      </c>
      <c r="C16" s="2" t="s">
        <v>58</v>
      </c>
      <c r="D16" s="3" t="s">
        <v>115</v>
      </c>
      <c r="E16" s="3" t="s">
        <v>138</v>
      </c>
      <c r="G16" s="3" t="s">
        <v>89</v>
      </c>
      <c r="H16" s="10" t="s">
        <v>18</v>
      </c>
      <c r="I16" s="15">
        <v>2447243</v>
      </c>
      <c r="J16" s="12">
        <v>1</v>
      </c>
      <c r="K16" s="19">
        <v>1</v>
      </c>
      <c r="L16" s="18">
        <v>10</v>
      </c>
      <c r="M16" s="18">
        <f t="shared" si="0"/>
        <v>0</v>
      </c>
      <c r="N16" s="33">
        <v>4.1999999999999997E-3</v>
      </c>
      <c r="O16" s="29">
        <f t="shared" si="1"/>
        <v>0</v>
      </c>
      <c r="P16" s="30" t="s">
        <v>139</v>
      </c>
      <c r="Q16" s="3"/>
    </row>
    <row r="17" spans="1:17" x14ac:dyDescent="0.3">
      <c r="A17" s="3" t="s">
        <v>52</v>
      </c>
      <c r="B17" s="3" t="s">
        <v>59</v>
      </c>
      <c r="C17" s="2" t="s">
        <v>60</v>
      </c>
      <c r="D17" s="2" t="s">
        <v>115</v>
      </c>
      <c r="E17" s="3" t="s">
        <v>136</v>
      </c>
      <c r="F17" s="3"/>
      <c r="G17" s="3" t="s">
        <v>89</v>
      </c>
      <c r="H17" s="10" t="s">
        <v>18</v>
      </c>
      <c r="I17" s="15">
        <v>2447285</v>
      </c>
      <c r="J17" s="12">
        <v>1</v>
      </c>
      <c r="K17" s="19">
        <v>1</v>
      </c>
      <c r="L17" s="18">
        <v>10</v>
      </c>
      <c r="M17" s="18">
        <f t="shared" si="0"/>
        <v>0</v>
      </c>
      <c r="N17" s="33">
        <v>4.4000000000000003E-3</v>
      </c>
      <c r="O17" s="29">
        <f t="shared" si="1"/>
        <v>0</v>
      </c>
      <c r="P17" s="30" t="s">
        <v>137</v>
      </c>
      <c r="Q17" s="3"/>
    </row>
    <row r="18" spans="1:17" x14ac:dyDescent="0.3">
      <c r="A18" s="3" t="s">
        <v>52</v>
      </c>
      <c r="B18" s="3" t="s">
        <v>180</v>
      </c>
      <c r="C18" s="2" t="s">
        <v>181</v>
      </c>
      <c r="D18" s="2" t="s">
        <v>115</v>
      </c>
      <c r="E18" s="3" t="s">
        <v>182</v>
      </c>
      <c r="F18" s="3"/>
      <c r="G18" s="3" t="s">
        <v>89</v>
      </c>
      <c r="H18" s="10" t="s">
        <v>18</v>
      </c>
      <c r="I18" s="15">
        <v>2447435</v>
      </c>
      <c r="J18" s="12">
        <v>1</v>
      </c>
      <c r="K18" s="19">
        <v>1</v>
      </c>
      <c r="L18" s="18">
        <v>10</v>
      </c>
      <c r="M18" s="18">
        <f t="shared" si="0"/>
        <v>0</v>
      </c>
      <c r="N18" s="33">
        <v>4.4999999999999997E-3</v>
      </c>
      <c r="O18" s="29">
        <f t="shared" si="1"/>
        <v>0</v>
      </c>
      <c r="P18" s="30" t="s">
        <v>183</v>
      </c>
      <c r="Q18" s="3"/>
    </row>
    <row r="19" spans="1:17" x14ac:dyDescent="0.3">
      <c r="A19" s="3" t="s">
        <v>52</v>
      </c>
      <c r="B19" s="3" t="s">
        <v>176</v>
      </c>
      <c r="C19" s="2" t="s">
        <v>177</v>
      </c>
      <c r="D19" s="2" t="s">
        <v>115</v>
      </c>
      <c r="E19" s="3" t="s">
        <v>178</v>
      </c>
      <c r="F19" s="3"/>
      <c r="G19" s="3" t="s">
        <v>89</v>
      </c>
      <c r="H19" s="10" t="s">
        <v>18</v>
      </c>
      <c r="I19" s="15">
        <v>2447385</v>
      </c>
      <c r="J19" s="12">
        <v>2</v>
      </c>
      <c r="K19" s="19">
        <v>2</v>
      </c>
      <c r="L19" s="18">
        <v>10</v>
      </c>
      <c r="M19" s="18">
        <f t="shared" si="0"/>
        <v>0</v>
      </c>
      <c r="N19" s="33">
        <v>5.3E-3</v>
      </c>
      <c r="O19" s="29">
        <f t="shared" si="1"/>
        <v>0</v>
      </c>
      <c r="P19" s="30" t="s">
        <v>179</v>
      </c>
      <c r="Q19" s="3"/>
    </row>
    <row r="20" spans="1:17" x14ac:dyDescent="0.3">
      <c r="A20" s="3" t="s">
        <v>52</v>
      </c>
      <c r="B20" s="3" t="s">
        <v>61</v>
      </c>
      <c r="C20" s="2" t="s">
        <v>184</v>
      </c>
      <c r="D20" s="2" t="s">
        <v>115</v>
      </c>
      <c r="E20" s="2" t="s">
        <v>134</v>
      </c>
      <c r="F20" s="3"/>
      <c r="G20" s="2" t="s">
        <v>89</v>
      </c>
      <c r="H20" s="10" t="s">
        <v>21</v>
      </c>
      <c r="I20" s="14">
        <v>2447320</v>
      </c>
      <c r="J20" s="12">
        <v>1</v>
      </c>
      <c r="K20" s="19">
        <v>1</v>
      </c>
      <c r="L20" s="18">
        <v>10</v>
      </c>
      <c r="M20" s="18">
        <f t="shared" si="0"/>
        <v>10</v>
      </c>
      <c r="N20" s="33">
        <v>4.7000000000000002E-3</v>
      </c>
      <c r="O20" s="29">
        <f t="shared" si="1"/>
        <v>4.7E-2</v>
      </c>
      <c r="P20" s="30" t="s">
        <v>135</v>
      </c>
      <c r="Q20" s="3"/>
    </row>
    <row r="21" spans="1:17" x14ac:dyDescent="0.3">
      <c r="A21" s="3" t="s">
        <v>52</v>
      </c>
      <c r="B21" s="2" t="s">
        <v>62</v>
      </c>
      <c r="C21" s="2" t="s">
        <v>63</v>
      </c>
      <c r="D21" s="2" t="s">
        <v>115</v>
      </c>
      <c r="E21" s="2" t="s">
        <v>132</v>
      </c>
      <c r="F21" s="3"/>
      <c r="G21" s="2" t="s">
        <v>89</v>
      </c>
      <c r="H21" s="10" t="s">
        <v>21</v>
      </c>
      <c r="I21" s="14">
        <v>2447226</v>
      </c>
      <c r="J21" s="12">
        <v>1</v>
      </c>
      <c r="K21" s="19">
        <v>1</v>
      </c>
      <c r="L21" s="18">
        <v>10</v>
      </c>
      <c r="M21" s="18">
        <f t="shared" si="0"/>
        <v>10</v>
      </c>
      <c r="N21" s="33">
        <v>4.5999999999999999E-3</v>
      </c>
      <c r="O21" s="29">
        <f t="shared" si="1"/>
        <v>4.5999999999999999E-2</v>
      </c>
      <c r="P21" s="30" t="s">
        <v>133</v>
      </c>
      <c r="Q21" s="3"/>
    </row>
    <row r="22" spans="1:17" x14ac:dyDescent="0.3">
      <c r="A22" s="3" t="s">
        <v>52</v>
      </c>
      <c r="B22" s="3" t="s">
        <v>64</v>
      </c>
      <c r="C22" s="2" t="s">
        <v>65</v>
      </c>
      <c r="D22" s="2" t="s">
        <v>115</v>
      </c>
      <c r="E22" s="2" t="s">
        <v>130</v>
      </c>
      <c r="F22" s="3"/>
      <c r="G22" s="2" t="s">
        <v>89</v>
      </c>
      <c r="H22" s="10" t="s">
        <v>18</v>
      </c>
      <c r="I22" s="14">
        <v>2447254</v>
      </c>
      <c r="J22" s="12">
        <v>1</v>
      </c>
      <c r="K22" s="19">
        <v>1</v>
      </c>
      <c r="L22" s="18">
        <v>10</v>
      </c>
      <c r="M22" s="18">
        <f t="shared" si="0"/>
        <v>0</v>
      </c>
      <c r="N22" s="33">
        <v>4.4000000000000003E-3</v>
      </c>
      <c r="O22" s="29">
        <f t="shared" si="1"/>
        <v>0</v>
      </c>
      <c r="P22" s="30" t="s">
        <v>131</v>
      </c>
      <c r="Q22" s="3"/>
    </row>
    <row r="23" spans="1:17" x14ac:dyDescent="0.3">
      <c r="A23" s="3" t="s">
        <v>52</v>
      </c>
      <c r="B23" s="2" t="s">
        <v>66</v>
      </c>
      <c r="C23" s="2" t="s">
        <v>67</v>
      </c>
      <c r="D23" s="2" t="s">
        <v>115</v>
      </c>
      <c r="E23" s="2" t="s">
        <v>128</v>
      </c>
      <c r="F23" s="3"/>
      <c r="G23" s="2" t="s">
        <v>89</v>
      </c>
      <c r="H23" s="10" t="s">
        <v>18</v>
      </c>
      <c r="I23" s="14">
        <v>2447256</v>
      </c>
      <c r="J23" s="12">
        <v>1</v>
      </c>
      <c r="K23" s="19">
        <v>1</v>
      </c>
      <c r="L23" s="18">
        <v>10</v>
      </c>
      <c r="M23" s="18">
        <f t="shared" si="0"/>
        <v>0</v>
      </c>
      <c r="N23" s="33">
        <v>4.3E-3</v>
      </c>
      <c r="O23" s="29">
        <f t="shared" si="1"/>
        <v>0</v>
      </c>
      <c r="P23" s="30" t="s">
        <v>129</v>
      </c>
      <c r="Q23" s="3"/>
    </row>
    <row r="24" spans="1:17" x14ac:dyDescent="0.3">
      <c r="A24" s="3" t="s">
        <v>52</v>
      </c>
      <c r="B24" s="2" t="s">
        <v>68</v>
      </c>
      <c r="C24" s="2" t="s">
        <v>117</v>
      </c>
      <c r="D24" s="2" t="s">
        <v>115</v>
      </c>
      <c r="E24" s="2" t="s">
        <v>126</v>
      </c>
      <c r="F24" s="3"/>
      <c r="G24" s="2" t="s">
        <v>89</v>
      </c>
      <c r="H24" s="10" t="s">
        <v>18</v>
      </c>
      <c r="I24" s="14">
        <v>2447299</v>
      </c>
      <c r="J24" s="12">
        <v>4</v>
      </c>
      <c r="K24" s="19">
        <v>4</v>
      </c>
      <c r="L24" s="18">
        <v>10</v>
      </c>
      <c r="M24" s="18">
        <f t="shared" si="0"/>
        <v>0</v>
      </c>
      <c r="N24" s="33">
        <v>4.5999999999999999E-3</v>
      </c>
      <c r="O24" s="29">
        <f t="shared" si="1"/>
        <v>0</v>
      </c>
      <c r="P24" s="30" t="s">
        <v>127</v>
      </c>
      <c r="Q24" s="3"/>
    </row>
    <row r="25" spans="1:17" x14ac:dyDescent="0.3">
      <c r="A25" s="3" t="s">
        <v>52</v>
      </c>
      <c r="B25" s="2" t="s">
        <v>69</v>
      </c>
      <c r="C25" s="2" t="s">
        <v>70</v>
      </c>
      <c r="D25" s="2" t="s">
        <v>115</v>
      </c>
      <c r="E25" s="2" t="s">
        <v>124</v>
      </c>
      <c r="F25" s="3"/>
      <c r="G25" s="2" t="s">
        <v>89</v>
      </c>
      <c r="H25" s="10" t="s">
        <v>18</v>
      </c>
      <c r="I25" s="14">
        <v>2447349</v>
      </c>
      <c r="J25" s="12">
        <v>2</v>
      </c>
      <c r="K25" s="19">
        <v>2</v>
      </c>
      <c r="L25" s="18">
        <v>10</v>
      </c>
      <c r="M25" s="18">
        <f t="shared" si="0"/>
        <v>0</v>
      </c>
      <c r="N25" s="33">
        <v>4.7000000000000002E-3</v>
      </c>
      <c r="O25" s="29">
        <f t="shared" si="1"/>
        <v>0</v>
      </c>
      <c r="P25" s="30" t="s">
        <v>125</v>
      </c>
      <c r="Q25" s="3"/>
    </row>
    <row r="26" spans="1:17" x14ac:dyDescent="0.3">
      <c r="A26" s="3" t="s">
        <v>52</v>
      </c>
      <c r="B26" s="2" t="s">
        <v>71</v>
      </c>
      <c r="C26" s="2" t="s">
        <v>72</v>
      </c>
      <c r="D26" s="2" t="s">
        <v>115</v>
      </c>
      <c r="E26" s="2" t="s">
        <v>122</v>
      </c>
      <c r="F26" s="3"/>
      <c r="G26" s="2" t="s">
        <v>89</v>
      </c>
      <c r="H26" s="10" t="s">
        <v>18</v>
      </c>
      <c r="I26" s="14">
        <v>2447354</v>
      </c>
      <c r="J26" s="12">
        <v>1</v>
      </c>
      <c r="K26" s="19">
        <v>1</v>
      </c>
      <c r="L26" s="18">
        <v>10</v>
      </c>
      <c r="M26" s="18">
        <f t="shared" si="0"/>
        <v>0</v>
      </c>
      <c r="N26" s="33">
        <v>4.7000000000000002E-3</v>
      </c>
      <c r="O26" s="29">
        <f t="shared" si="1"/>
        <v>0</v>
      </c>
      <c r="P26" s="30" t="s">
        <v>123</v>
      </c>
      <c r="Q26" s="3"/>
    </row>
    <row r="27" spans="1:17" x14ac:dyDescent="0.3">
      <c r="A27" s="3" t="s">
        <v>52</v>
      </c>
      <c r="B27" s="2" t="s">
        <v>73</v>
      </c>
      <c r="C27" s="2" t="s">
        <v>74</v>
      </c>
      <c r="D27" s="2" t="s">
        <v>115</v>
      </c>
      <c r="E27" s="2" t="s">
        <v>118</v>
      </c>
      <c r="F27" s="3"/>
      <c r="G27" s="2" t="s">
        <v>89</v>
      </c>
      <c r="H27" s="10" t="s">
        <v>18</v>
      </c>
      <c r="I27" s="14">
        <v>2447372</v>
      </c>
      <c r="J27" s="12">
        <v>1</v>
      </c>
      <c r="K27" s="19">
        <v>1</v>
      </c>
      <c r="L27" s="18">
        <v>10</v>
      </c>
      <c r="M27" s="18">
        <f t="shared" si="0"/>
        <v>0</v>
      </c>
      <c r="N27" s="33">
        <v>5.0000000000000001E-3</v>
      </c>
      <c r="O27" s="29">
        <f t="shared" si="1"/>
        <v>0</v>
      </c>
      <c r="P27" s="30" t="s">
        <v>119</v>
      </c>
      <c r="Q27" s="3"/>
    </row>
    <row r="28" spans="1:17" x14ac:dyDescent="0.3">
      <c r="A28" s="3" t="s">
        <v>52</v>
      </c>
      <c r="B28" s="2" t="s">
        <v>75</v>
      </c>
      <c r="C28" s="2" t="s">
        <v>76</v>
      </c>
      <c r="D28" s="2" t="s">
        <v>115</v>
      </c>
      <c r="E28" s="2" t="s">
        <v>120</v>
      </c>
      <c r="F28" s="3"/>
      <c r="G28" s="2" t="s">
        <v>89</v>
      </c>
      <c r="H28" s="10" t="s">
        <v>18</v>
      </c>
      <c r="I28" s="14">
        <v>2447414</v>
      </c>
      <c r="J28" s="12">
        <v>1</v>
      </c>
      <c r="K28" s="19">
        <v>1</v>
      </c>
      <c r="L28" s="18">
        <v>10</v>
      </c>
      <c r="M28" s="18">
        <f t="shared" si="0"/>
        <v>0</v>
      </c>
      <c r="N28" s="33">
        <v>4.4999999999999997E-3</v>
      </c>
      <c r="O28" s="29">
        <f t="shared" si="1"/>
        <v>0</v>
      </c>
      <c r="P28" s="30" t="s">
        <v>121</v>
      </c>
      <c r="Q28" s="3"/>
    </row>
    <row r="29" spans="1:17" x14ac:dyDescent="0.3">
      <c r="A29" s="3" t="s">
        <v>52</v>
      </c>
      <c r="B29" s="2" t="s">
        <v>87</v>
      </c>
      <c r="C29" s="2" t="s">
        <v>88</v>
      </c>
      <c r="D29" s="2" t="s">
        <v>146</v>
      </c>
      <c r="E29" s="2" t="s">
        <v>147</v>
      </c>
      <c r="F29" s="3"/>
      <c r="G29" s="2" t="s">
        <v>89</v>
      </c>
      <c r="H29" s="10" t="s">
        <v>21</v>
      </c>
      <c r="I29" s="14">
        <v>4009217</v>
      </c>
      <c r="J29" s="12">
        <v>1</v>
      </c>
      <c r="K29" s="19">
        <v>1</v>
      </c>
      <c r="L29" s="18">
        <v>10</v>
      </c>
      <c r="M29" s="18">
        <f t="shared" si="0"/>
        <v>10</v>
      </c>
      <c r="N29" s="33">
        <v>5.3E-3</v>
      </c>
      <c r="O29" s="29">
        <f t="shared" si="1"/>
        <v>5.2999999999999999E-2</v>
      </c>
      <c r="P29" s="30" t="s">
        <v>148</v>
      </c>
      <c r="Q29" s="3"/>
    </row>
    <row r="30" spans="1:17" x14ac:dyDescent="0.3">
      <c r="A30" s="3" t="s">
        <v>49</v>
      </c>
      <c r="B30" s="2" t="s">
        <v>50</v>
      </c>
      <c r="C30" s="2" t="s">
        <v>51</v>
      </c>
      <c r="D30" s="2" t="s">
        <v>116</v>
      </c>
      <c r="E30" s="2" t="s">
        <v>149</v>
      </c>
      <c r="F30" s="3"/>
      <c r="G30" s="2" t="s">
        <v>95</v>
      </c>
      <c r="H30" s="10" t="s">
        <v>18</v>
      </c>
      <c r="I30" s="31" t="s">
        <v>150</v>
      </c>
      <c r="J30" s="12">
        <v>2</v>
      </c>
      <c r="K30" s="19">
        <v>5</v>
      </c>
      <c r="L30" s="18">
        <v>10</v>
      </c>
      <c r="M30" s="18">
        <f t="shared" si="0"/>
        <v>0</v>
      </c>
      <c r="N30" s="33">
        <v>0.72</v>
      </c>
      <c r="O30" s="29">
        <f t="shared" si="1"/>
        <v>0</v>
      </c>
      <c r="P30" s="30" t="s">
        <v>151</v>
      </c>
      <c r="Q30" s="3"/>
    </row>
    <row r="31" spans="1:17" x14ac:dyDescent="0.3">
      <c r="A31" s="3" t="s">
        <v>79</v>
      </c>
      <c r="B31" s="2" t="s">
        <v>80</v>
      </c>
      <c r="C31" s="2" t="s">
        <v>81</v>
      </c>
      <c r="D31" s="2" t="s">
        <v>152</v>
      </c>
      <c r="E31" s="2" t="s">
        <v>153</v>
      </c>
      <c r="F31" s="3"/>
      <c r="G31" s="2" t="s">
        <v>89</v>
      </c>
      <c r="H31" s="10" t="s">
        <v>21</v>
      </c>
      <c r="I31" s="14">
        <v>2453373</v>
      </c>
      <c r="J31" s="12">
        <v>1</v>
      </c>
      <c r="K31" s="19">
        <v>1</v>
      </c>
      <c r="L31" s="18">
        <v>5</v>
      </c>
      <c r="M31" s="18">
        <f t="shared" si="0"/>
        <v>5</v>
      </c>
      <c r="N31" s="33">
        <v>0.371</v>
      </c>
      <c r="O31" s="29">
        <f t="shared" si="1"/>
        <v>1.855</v>
      </c>
      <c r="P31" s="30" t="s">
        <v>154</v>
      </c>
      <c r="Q31" s="3"/>
    </row>
    <row r="32" spans="1:17" x14ac:dyDescent="0.3">
      <c r="A32" s="3" t="s">
        <v>82</v>
      </c>
      <c r="B32" s="2" t="s">
        <v>83</v>
      </c>
      <c r="C32" s="2" t="s">
        <v>84</v>
      </c>
      <c r="D32" s="2" t="s">
        <v>115</v>
      </c>
      <c r="E32" s="2" t="s">
        <v>166</v>
      </c>
      <c r="F32" s="3"/>
      <c r="G32" s="2" t="s">
        <v>89</v>
      </c>
      <c r="H32" s="10" t="s">
        <v>21</v>
      </c>
      <c r="I32" s="14">
        <v>1524005</v>
      </c>
      <c r="J32" s="12">
        <v>1</v>
      </c>
      <c r="K32" s="19">
        <v>1</v>
      </c>
      <c r="L32" s="18">
        <v>1</v>
      </c>
      <c r="M32" s="18">
        <f t="shared" si="0"/>
        <v>1</v>
      </c>
      <c r="N32" s="33">
        <v>0.79900000000000004</v>
      </c>
      <c r="O32" s="29">
        <f t="shared" si="1"/>
        <v>0.79900000000000004</v>
      </c>
      <c r="P32" s="30" t="s">
        <v>167</v>
      </c>
      <c r="Q32" s="3"/>
    </row>
    <row r="33" spans="1:17" x14ac:dyDescent="0.3">
      <c r="A33" s="3" t="s">
        <v>82</v>
      </c>
      <c r="B33" s="2" t="s">
        <v>85</v>
      </c>
      <c r="C33" s="2" t="s">
        <v>86</v>
      </c>
      <c r="D33" s="2" t="s">
        <v>115</v>
      </c>
      <c r="E33" s="2" t="s">
        <v>168</v>
      </c>
      <c r="F33" s="3"/>
      <c r="G33" s="2" t="s">
        <v>89</v>
      </c>
      <c r="H33" s="10" t="s">
        <v>21</v>
      </c>
      <c r="I33" s="14">
        <v>1522023</v>
      </c>
      <c r="J33" s="12">
        <v>1</v>
      </c>
      <c r="K33" s="19">
        <v>1</v>
      </c>
      <c r="L33" s="18">
        <v>1</v>
      </c>
      <c r="M33" s="18">
        <f t="shared" si="0"/>
        <v>1</v>
      </c>
      <c r="N33" s="33">
        <v>1.36</v>
      </c>
      <c r="O33" s="29">
        <f t="shared" si="1"/>
        <v>1.36</v>
      </c>
      <c r="P33" s="30" t="s">
        <v>169</v>
      </c>
      <c r="Q33" s="3"/>
    </row>
    <row r="34" spans="1:17" x14ac:dyDescent="0.3">
      <c r="A34" s="3" t="s">
        <v>46</v>
      </c>
      <c r="B34" s="2" t="s">
        <v>47</v>
      </c>
      <c r="C34" s="2" t="s">
        <v>48</v>
      </c>
      <c r="D34" s="2" t="s">
        <v>155</v>
      </c>
      <c r="E34" s="2" t="s">
        <v>156</v>
      </c>
      <c r="F34" s="3"/>
      <c r="G34" s="2" t="s">
        <v>89</v>
      </c>
      <c r="H34" s="10" t="s">
        <v>21</v>
      </c>
      <c r="I34" s="14">
        <v>9663827</v>
      </c>
      <c r="J34" s="12">
        <v>1</v>
      </c>
      <c r="K34" s="19">
        <v>1</v>
      </c>
      <c r="L34" s="18">
        <v>1</v>
      </c>
      <c r="M34" s="18">
        <f t="shared" si="0"/>
        <v>1</v>
      </c>
      <c r="N34" s="33">
        <v>2.84</v>
      </c>
      <c r="O34" s="29">
        <f t="shared" si="1"/>
        <v>2.84</v>
      </c>
      <c r="P34" s="30" t="s">
        <v>157</v>
      </c>
      <c r="Q34" s="3"/>
    </row>
    <row r="35" spans="1:17" x14ac:dyDescent="0.3">
      <c r="A35" s="3" t="s">
        <v>46</v>
      </c>
      <c r="B35" s="2" t="s">
        <v>158</v>
      </c>
      <c r="C35" s="2" t="s">
        <v>163</v>
      </c>
      <c r="D35" s="2" t="s">
        <v>159</v>
      </c>
      <c r="E35" s="2" t="s">
        <v>160</v>
      </c>
      <c r="F35" s="3"/>
      <c r="G35" s="2" t="s">
        <v>89</v>
      </c>
      <c r="H35" s="10" t="s">
        <v>21</v>
      </c>
      <c r="I35" s="14">
        <v>3117817</v>
      </c>
      <c r="J35" s="12">
        <v>4</v>
      </c>
      <c r="K35" s="19">
        <v>4</v>
      </c>
      <c r="L35" s="18">
        <v>1</v>
      </c>
      <c r="M35" s="18">
        <f t="shared" si="0"/>
        <v>4</v>
      </c>
      <c r="N35" s="34">
        <v>0.98</v>
      </c>
      <c r="O35" s="29">
        <f t="shared" si="1"/>
        <v>3.92</v>
      </c>
      <c r="P35" s="30" t="s">
        <v>161</v>
      </c>
      <c r="Q35" s="3"/>
    </row>
    <row r="36" spans="1:17" x14ac:dyDescent="0.3">
      <c r="A36" s="3" t="s">
        <v>24</v>
      </c>
      <c r="B36" s="3" t="s">
        <v>162</v>
      </c>
      <c r="C36" s="2" t="s">
        <v>163</v>
      </c>
      <c r="D36" s="2" t="s">
        <v>115</v>
      </c>
      <c r="E36" s="2" t="s">
        <v>164</v>
      </c>
      <c r="F36" s="3"/>
      <c r="G36" s="2" t="s">
        <v>89</v>
      </c>
      <c r="H36" s="10" t="s">
        <v>18</v>
      </c>
      <c r="I36" s="16">
        <v>1103844</v>
      </c>
      <c r="J36" s="8">
        <v>4</v>
      </c>
      <c r="K36" s="19">
        <v>4</v>
      </c>
      <c r="L36" s="18">
        <v>5</v>
      </c>
      <c r="M36" s="18">
        <f t="shared" si="0"/>
        <v>0</v>
      </c>
      <c r="N36" s="34">
        <v>0.215</v>
      </c>
      <c r="O36" s="29">
        <f t="shared" si="1"/>
        <v>0</v>
      </c>
      <c r="P36" s="30" t="s">
        <v>165</v>
      </c>
      <c r="Q36" s="3"/>
    </row>
    <row r="37" spans="1:17" ht="18" x14ac:dyDescent="0.35">
      <c r="N37" s="27" t="s">
        <v>19</v>
      </c>
      <c r="O37" s="23">
        <f>SUM(O3:O36)</f>
        <v>36.938000000000002</v>
      </c>
      <c r="P37" s="22"/>
    </row>
    <row r="38" spans="1:17" x14ac:dyDescent="0.3">
      <c r="P38" s="22"/>
    </row>
    <row r="39" spans="1:17" x14ac:dyDescent="0.3">
      <c r="P39" s="22"/>
    </row>
    <row r="40" spans="1:17" x14ac:dyDescent="0.3">
      <c r="P40" s="22"/>
    </row>
    <row r="41" spans="1:17" x14ac:dyDescent="0.3">
      <c r="P41" s="22"/>
    </row>
    <row r="42" spans="1:17" x14ac:dyDescent="0.3">
      <c r="P42" s="22"/>
    </row>
    <row r="43" spans="1:17" x14ac:dyDescent="0.3">
      <c r="P43" s="22"/>
    </row>
    <row r="44" spans="1:17" x14ac:dyDescent="0.3">
      <c r="P44" s="22"/>
    </row>
    <row r="45" spans="1:17" x14ac:dyDescent="0.3">
      <c r="P45" s="22"/>
    </row>
    <row r="46" spans="1:17" x14ac:dyDescent="0.3">
      <c r="P46" s="22"/>
    </row>
    <row r="47" spans="1:17" x14ac:dyDescent="0.3">
      <c r="P47" s="22"/>
    </row>
    <row r="48" spans="1:17" x14ac:dyDescent="0.3">
      <c r="C48" t="s">
        <v>20</v>
      </c>
      <c r="P48" s="22"/>
    </row>
    <row r="49" spans="3:18" x14ac:dyDescent="0.3">
      <c r="C49" s="6" t="s">
        <v>18</v>
      </c>
      <c r="P49" s="22"/>
    </row>
    <row r="50" spans="3:18" x14ac:dyDescent="0.3">
      <c r="C50" s="5" t="s">
        <v>21</v>
      </c>
      <c r="P50" s="22"/>
    </row>
    <row r="64" spans="3:18" ht="36.75" customHeight="1" x14ac:dyDescent="0.3">
      <c r="R64" t="s">
        <v>22</v>
      </c>
    </row>
    <row r="67" spans="18:18" x14ac:dyDescent="0.3">
      <c r="R67" t="s">
        <v>23</v>
      </c>
    </row>
    <row r="68" spans="18:18" x14ac:dyDescent="0.3">
      <c r="R68">
        <f>SUM(S3)</f>
        <v>1</v>
      </c>
    </row>
    <row r="69" spans="18:18" x14ac:dyDescent="0.3">
      <c r="R69">
        <f>SUM(S3)</f>
        <v>1</v>
      </c>
    </row>
    <row r="70" spans="18:18" x14ac:dyDescent="0.3">
      <c r="R70">
        <f>SUM(S3)</f>
        <v>1</v>
      </c>
    </row>
    <row r="71" spans="18:18" x14ac:dyDescent="0.3">
      <c r="R71">
        <f>SUM(S3)</f>
        <v>1</v>
      </c>
    </row>
    <row r="72" spans="18:18" x14ac:dyDescent="0.3">
      <c r="R72">
        <f>SUM(S3)</f>
        <v>1</v>
      </c>
    </row>
    <row r="73" spans="18:18" x14ac:dyDescent="0.3">
      <c r="R73">
        <f>SUM(S3)</f>
        <v>1</v>
      </c>
    </row>
    <row r="74" spans="18:18" x14ac:dyDescent="0.3">
      <c r="R74">
        <f>SUM(S3)</f>
        <v>1</v>
      </c>
    </row>
    <row r="75" spans="18:18" x14ac:dyDescent="0.3">
      <c r="R75">
        <f>SUM(S3)</f>
        <v>1</v>
      </c>
    </row>
    <row r="76" spans="18:18" x14ac:dyDescent="0.3">
      <c r="R76">
        <f>SUM(S3)</f>
        <v>1</v>
      </c>
    </row>
    <row r="77" spans="18:18" x14ac:dyDescent="0.3">
      <c r="R77">
        <f>SUM(S3)</f>
        <v>1</v>
      </c>
    </row>
    <row r="78" spans="18:18" x14ac:dyDescent="0.3">
      <c r="R78">
        <f>SUM(S3)</f>
        <v>1</v>
      </c>
    </row>
    <row r="79" spans="18:18" x14ac:dyDescent="0.3">
      <c r="R79">
        <f>SUM(S3)</f>
        <v>1</v>
      </c>
    </row>
    <row r="80" spans="18:18" x14ac:dyDescent="0.3">
      <c r="R80">
        <f>SUM(S3)</f>
        <v>1</v>
      </c>
    </row>
    <row r="81" spans="18:18" x14ac:dyDescent="0.3">
      <c r="R81">
        <f>SUM(S3)</f>
        <v>1</v>
      </c>
    </row>
    <row r="82" spans="18:18" x14ac:dyDescent="0.3">
      <c r="R82">
        <f>SUM(S3)</f>
        <v>1</v>
      </c>
    </row>
    <row r="83" spans="18:18" x14ac:dyDescent="0.3">
      <c r="R83">
        <f>SUM(S3)</f>
        <v>1</v>
      </c>
    </row>
    <row r="84" spans="18:18" x14ac:dyDescent="0.3">
      <c r="R84">
        <f>SUM(S3)</f>
        <v>1</v>
      </c>
    </row>
    <row r="85" spans="18:18" x14ac:dyDescent="0.3">
      <c r="R85">
        <f>SUM(S3)</f>
        <v>1</v>
      </c>
    </row>
    <row r="86" spans="18:18" x14ac:dyDescent="0.3">
      <c r="R86">
        <f>SUM(S3)</f>
        <v>1</v>
      </c>
    </row>
    <row r="87" spans="18:18" x14ac:dyDescent="0.3">
      <c r="R87">
        <f>SUM(S3)</f>
        <v>1</v>
      </c>
    </row>
    <row r="88" spans="18:18" x14ac:dyDescent="0.3">
      <c r="R88">
        <f>SUM(S3)</f>
        <v>1</v>
      </c>
    </row>
    <row r="89" spans="18:18" x14ac:dyDescent="0.3">
      <c r="R89">
        <f>SUM(S3)</f>
        <v>1</v>
      </c>
    </row>
    <row r="90" spans="18:18" x14ac:dyDescent="0.3">
      <c r="R90">
        <f>SUM(S3)</f>
        <v>1</v>
      </c>
    </row>
    <row r="91" spans="18:18" x14ac:dyDescent="0.3">
      <c r="R91">
        <f>SUM(S3)</f>
        <v>1</v>
      </c>
    </row>
    <row r="92" spans="18:18" x14ac:dyDescent="0.3">
      <c r="R92">
        <f>SUM(S3)</f>
        <v>1</v>
      </c>
    </row>
    <row r="93" spans="18:18" x14ac:dyDescent="0.3">
      <c r="R93">
        <f>SUM(S3)</f>
        <v>1</v>
      </c>
    </row>
    <row r="94" spans="18:18" x14ac:dyDescent="0.3">
      <c r="R94">
        <f>SUM(S3)</f>
        <v>1</v>
      </c>
    </row>
    <row r="95" spans="18:18" x14ac:dyDescent="0.3">
      <c r="R95">
        <f>SUM(S3)</f>
        <v>1</v>
      </c>
    </row>
    <row r="96" spans="18:18" x14ac:dyDescent="0.3">
      <c r="R96">
        <f>SUM(S3)</f>
        <v>1</v>
      </c>
    </row>
    <row r="97" spans="18:18" x14ac:dyDescent="0.3">
      <c r="R97">
        <f>SUM(S3)</f>
        <v>1</v>
      </c>
    </row>
    <row r="98" spans="18:18" x14ac:dyDescent="0.3">
      <c r="R98">
        <f>SUM(S3)</f>
        <v>1</v>
      </c>
    </row>
    <row r="99" spans="18:18" x14ac:dyDescent="0.3">
      <c r="R99">
        <f>SUM(S3)</f>
        <v>1</v>
      </c>
    </row>
    <row r="100" spans="18:18" x14ac:dyDescent="0.3">
      <c r="R100">
        <f>SUM(S3)</f>
        <v>1</v>
      </c>
    </row>
    <row r="101" spans="18:18" x14ac:dyDescent="0.3">
      <c r="R101">
        <f>SUM(S3)</f>
        <v>1</v>
      </c>
    </row>
    <row r="102" spans="18:18" x14ac:dyDescent="0.3">
      <c r="R102">
        <f>SUM(S3)</f>
        <v>1</v>
      </c>
    </row>
    <row r="103" spans="18:18" x14ac:dyDescent="0.3">
      <c r="R103">
        <f>SUM(S3)</f>
        <v>1</v>
      </c>
    </row>
    <row r="104" spans="18:18" x14ac:dyDescent="0.3">
      <c r="R104">
        <f>SUM(S3)</f>
        <v>1</v>
      </c>
    </row>
    <row r="105" spans="18:18" x14ac:dyDescent="0.3">
      <c r="R105">
        <f>SUM(S3)</f>
        <v>1</v>
      </c>
    </row>
    <row r="106" spans="18:18" x14ac:dyDescent="0.3">
      <c r="R106">
        <f>SUM(S3)</f>
        <v>1</v>
      </c>
    </row>
    <row r="107" spans="18:18" x14ac:dyDescent="0.3">
      <c r="R107">
        <f>SUM(S3)</f>
        <v>1</v>
      </c>
    </row>
    <row r="108" spans="18:18" x14ac:dyDescent="0.3">
      <c r="R108">
        <f>SUM(S3)</f>
        <v>1</v>
      </c>
    </row>
    <row r="109" spans="18:18" x14ac:dyDescent="0.3">
      <c r="R109">
        <f>SUM(S3)</f>
        <v>1</v>
      </c>
    </row>
    <row r="110" spans="18:18" x14ac:dyDescent="0.3">
      <c r="R110">
        <f>SUM(S3)</f>
        <v>1</v>
      </c>
    </row>
    <row r="111" spans="18:18" x14ac:dyDescent="0.3">
      <c r="R111">
        <f>SUM(S3)</f>
        <v>1</v>
      </c>
    </row>
    <row r="112" spans="18:18" x14ac:dyDescent="0.3">
      <c r="R112">
        <f>SUM(S3)</f>
        <v>1</v>
      </c>
    </row>
    <row r="113" spans="18:18" x14ac:dyDescent="0.3">
      <c r="R113">
        <f>SUM(S3)</f>
        <v>1</v>
      </c>
    </row>
    <row r="114" spans="18:18" x14ac:dyDescent="0.3">
      <c r="R114">
        <f>SUM(S3)</f>
        <v>1</v>
      </c>
    </row>
    <row r="115" spans="18:18" x14ac:dyDescent="0.3">
      <c r="R115">
        <f>SUM(S3)</f>
        <v>1</v>
      </c>
    </row>
    <row r="116" spans="18:18" x14ac:dyDescent="0.3">
      <c r="R116">
        <f>SUM(S3)</f>
        <v>1</v>
      </c>
    </row>
    <row r="117" spans="18:18" x14ac:dyDescent="0.3">
      <c r="R117">
        <f>SUM(S3)</f>
        <v>1</v>
      </c>
    </row>
    <row r="118" spans="18:18" x14ac:dyDescent="0.3">
      <c r="R118">
        <f>SUM(S3)</f>
        <v>1</v>
      </c>
    </row>
    <row r="119" spans="18:18" x14ac:dyDescent="0.3">
      <c r="R119">
        <f>SUM(S3)</f>
        <v>1</v>
      </c>
    </row>
    <row r="120" spans="18:18" x14ac:dyDescent="0.3">
      <c r="R120">
        <f>SUM(S3)</f>
        <v>1</v>
      </c>
    </row>
    <row r="121" spans="18:18" x14ac:dyDescent="0.3">
      <c r="R121">
        <f>SUM(S3)</f>
        <v>1</v>
      </c>
    </row>
    <row r="122" spans="18:18" x14ac:dyDescent="0.3">
      <c r="R122">
        <f>SUM(S3)</f>
        <v>1</v>
      </c>
    </row>
    <row r="123" spans="18:18" x14ac:dyDescent="0.3">
      <c r="R123">
        <f>SUM(S3)</f>
        <v>1</v>
      </c>
    </row>
    <row r="124" spans="18:18" x14ac:dyDescent="0.3">
      <c r="R124">
        <f>SUM(S3)</f>
        <v>1</v>
      </c>
    </row>
    <row r="125" spans="18:18" x14ac:dyDescent="0.3">
      <c r="R125">
        <f>SUM(S3)</f>
        <v>1</v>
      </c>
    </row>
    <row r="126" spans="18:18" x14ac:dyDescent="0.3">
      <c r="R126">
        <f>SUM(S3)</f>
        <v>1</v>
      </c>
    </row>
    <row r="127" spans="18:18" x14ac:dyDescent="0.3">
      <c r="R127">
        <f>SUM(S3)</f>
        <v>1</v>
      </c>
    </row>
    <row r="128" spans="18:18" x14ac:dyDescent="0.3">
      <c r="R128">
        <f>SUM(S3)</f>
        <v>1</v>
      </c>
    </row>
    <row r="129" spans="18:18" x14ac:dyDescent="0.3">
      <c r="R129">
        <f>SUM(S3)</f>
        <v>1</v>
      </c>
    </row>
    <row r="130" spans="18:18" x14ac:dyDescent="0.3">
      <c r="R130">
        <f>SUM(S3)</f>
        <v>1</v>
      </c>
    </row>
    <row r="131" spans="18:18" x14ac:dyDescent="0.3">
      <c r="R131">
        <f>SUM(S3)</f>
        <v>1</v>
      </c>
    </row>
    <row r="132" spans="18:18" x14ac:dyDescent="0.3">
      <c r="R132">
        <f>SUM(S3)</f>
        <v>1</v>
      </c>
    </row>
    <row r="133" spans="18:18" x14ac:dyDescent="0.3">
      <c r="R133">
        <f>SUM(S3)</f>
        <v>1</v>
      </c>
    </row>
    <row r="134" spans="18:18" x14ac:dyDescent="0.3">
      <c r="R134">
        <f>SUM(S3)</f>
        <v>1</v>
      </c>
    </row>
    <row r="135" spans="18:18" x14ac:dyDescent="0.3">
      <c r="R135">
        <f>SUM(S3)</f>
        <v>1</v>
      </c>
    </row>
    <row r="136" spans="18:18" x14ac:dyDescent="0.3">
      <c r="R136">
        <f>SUM(S3)</f>
        <v>1</v>
      </c>
    </row>
    <row r="137" spans="18:18" x14ac:dyDescent="0.3">
      <c r="R137">
        <f>SUM(S3)</f>
        <v>1</v>
      </c>
    </row>
    <row r="138" spans="18:18" x14ac:dyDescent="0.3">
      <c r="R138">
        <f>SUM(S3)</f>
        <v>1</v>
      </c>
    </row>
    <row r="139" spans="18:18" x14ac:dyDescent="0.3">
      <c r="R139">
        <f>SUM(S3)</f>
        <v>1</v>
      </c>
    </row>
    <row r="140" spans="18:18" x14ac:dyDescent="0.3">
      <c r="R140">
        <f>SUM(S3)</f>
        <v>1</v>
      </c>
    </row>
    <row r="141" spans="18:18" x14ac:dyDescent="0.3">
      <c r="R141">
        <f>SUM(S3)</f>
        <v>1</v>
      </c>
    </row>
    <row r="142" spans="18:18" x14ac:dyDescent="0.3">
      <c r="R142">
        <f>SUM(S3)</f>
        <v>1</v>
      </c>
    </row>
  </sheetData>
  <conditionalFormatting sqref="H3:H36">
    <cfRule type="containsText" dxfId="3" priority="10" operator="containsText" text="X">
      <formula>NOT(ISERROR(SEARCH("X",H3)))</formula>
    </cfRule>
    <cfRule type="cellIs" dxfId="2" priority="11" operator="equal">
      <formula>"√"</formula>
    </cfRule>
  </conditionalFormatting>
  <conditionalFormatting sqref="O3:O36">
    <cfRule type="colorScale" priority="22">
      <colorScale>
        <cfvo type="min"/>
        <cfvo type="percentile" val="50"/>
        <cfvo type="max"/>
        <color rgb="FF63BE7B"/>
        <color rgb="FFFFEB84"/>
        <color rgb="FFF8696B"/>
      </colorScale>
    </cfRule>
    <cfRule type="colorScale" priority="23">
      <colorScale>
        <cfvo type="min"/>
        <cfvo type="percentile" val="50"/>
        <cfvo type="max"/>
        <color rgb="FFF8696B"/>
        <color rgb="FFFFEB84"/>
        <color rgb="FF63BE7B"/>
      </colorScale>
    </cfRule>
  </conditionalFormatting>
  <conditionalFormatting sqref="Q3:Q36">
    <cfRule type="cellIs" dxfId="1" priority="26" operator="equal">
      <formula>$C$50</formula>
    </cfRule>
    <cfRule type="cellIs" dxfId="0" priority="27" operator="equal">
      <formula>$C$49</formula>
    </cfRule>
  </conditionalFormatting>
  <dataValidations count="2">
    <dataValidation type="list" allowBlank="1" showInputMessage="1" showErrorMessage="1" errorTitle="Pick either Y or N" promptTitle="Stock_available_Y_N" sqref="H3:H36" xr:uid="{0B25667A-4371-4144-BFC0-AA566068B6A7}">
      <formula1>$C$49:$C$50</formula1>
    </dataValidation>
    <dataValidation type="list" allowBlank="1" showInputMessage="1" showErrorMessage="1" sqref="Q2:Q36" xr:uid="{51590C1C-1E1F-4E3F-9835-87E87738B13E}">
      <formula1>$C$49:$C$50</formula1>
    </dataValidation>
  </dataValidations>
  <hyperlinks>
    <hyperlink ref="P4" r:id="rId1" display="https://uk.farnell.com/cliff-electronic-components/fc68125/connector-phono-3-5mm-jack-4pole/dp/2309468" xr:uid="{146352F3-BFA0-4D7E-BD21-A29AB5B6F606}"/>
    <hyperlink ref="P5" r:id="rId2" display="https://uk.rs-online.com/web/p/coaxial-connectors/7100466?gb=s" xr:uid="{E4DDA8F9-2953-4F68-B090-86DC245AE05E}"/>
    <hyperlink ref="P6" r:id="rId3" display="https://uk.farnell.com/buchanan-te-connectivity/282834-4/terminal-block-wire-to-brd-4pos/dp/2396253" xr:uid="{32251A05-78BB-4B70-B080-7854F6F1E158}"/>
    <hyperlink ref="P8" r:id="rId4" display="https://uk.farnell.com/tdk/c1608x5r1h104k080aa/cap-0-1-f-50v-10-x5r-0603/dp/2211177" xr:uid="{E3247EB0-EC58-49FB-A3C1-2166B5B7A590}"/>
    <hyperlink ref="P9" r:id="rId5" display="https://uk.farnell.com/avx/06033d105kat2a/cap-1-f-25v-10-x5r-0603/dp/1658868" xr:uid="{5C57B30A-F908-4D10-BB20-3B87CB7E3D07}"/>
    <hyperlink ref="P11" r:id="rId6" display="https://uk.farnell.com/avx/06035a220jat2a/cap-22pf-50v-5-c0g-np0-0603/dp/498543" xr:uid="{866EA391-7DD9-46F9-AB42-B4A1C97B26A2}"/>
    <hyperlink ref="P10" r:id="rId7" display="https://uk.farnell.com/avx/06035c103k4t2a/cap-0-01-f-50v-10-x7r-0603/dp/2332637" xr:uid="{3B4CE5B6-61E0-465C-A3D9-ABE999654B98}"/>
    <hyperlink ref="P12" r:id="rId8" display="https://uk.farnell.com/broadcom/hsmf-a201-a00j1/led-smd-plcc4-red-grn/dp/1058420?CMP=KNC-MUK-GEN-SKU&amp;msclkid=14ef619dd2301c6a874f08fb99ac31f5" xr:uid="{194772EE-CB0D-4B0D-9D59-178E4C604F51}"/>
    <hyperlink ref="P13" r:id="rId9" display="https://uk.farnell.com/nexperia/bat54s-215/diode-schoty-dual-30v-0-2a-sot23/dp/1081194" xr:uid="{228FEE1E-C425-4AEA-BFDD-71F21C0245D4}"/>
    <hyperlink ref="P27" r:id="rId10" display="https://uk.farnell.com/multicomp-pro/mcwr06x4302ftl/res-43k-1-0-1w-thick-film/dp/2447372?MER=sy-me-pd-mi-alte" xr:uid="{AC6EDA07-1A2E-4C18-BA85-856072B0E2AB}"/>
    <hyperlink ref="P28" r:id="rId11" display="https://uk.farnell.com/multicomp-pro/mcwr06x6202ftl/res-62k-1-0-1w-thick-film/dp/2447414" xr:uid="{EE960DEA-DB23-44CE-843E-BF4E8068899D}"/>
    <hyperlink ref="P26" r:id="rId12" display="https://uk.farnell.com/multicomp-pro/mcwr06x3902ftl/res-39k-1-0-1w-thick-film/dp/2447354" xr:uid="{974DD6A3-D58A-457B-85EB-71E978A25FD0}"/>
    <hyperlink ref="P25" r:id="rId13" display="https://uk.farnell.com/multicomp-pro/mcwr06x3602ftl/res-36k-1-0-1w-thick-film/dp/2447349" xr:uid="{EB3D894E-B719-4A06-9EFF-E6BF93495CAE}"/>
    <hyperlink ref="P24" r:id="rId14" display="https://uk.farnell.com/multicomp-pro/mcwr06x2202ftl/res-22k-1-0-1w-0603-thick-film/dp/2447299" xr:uid="{D04355A1-E3D2-4E43-8BA7-75DC28CEBBC9}"/>
    <hyperlink ref="P23" r:id="rId15" display="https://uk.farnell.com/multicomp-pro/mcwr06x1502ftl/res-15k-1-0-1w-thick-film/dp/2447256" xr:uid="{C8987D74-3B67-490D-B2AC-A524094364C1}"/>
    <hyperlink ref="P22" r:id="rId16" display="https://uk.farnell.com/multicomp-pro/mcwr06x1503ftl/res-150k-1-0-1w-thick-film/dp/2447254" xr:uid="{889FDABE-B698-43DF-B492-AEAB7FC0937C}"/>
    <hyperlink ref="P21" r:id="rId17" display="https://uk.farnell.com/multicomp-pro/mcwr06x1003ftl/res-100k-1-0-1w-0603-thick-film/dp/2447226" xr:uid="{9C3C90F7-D809-46BC-8724-09D5119683D3}"/>
    <hyperlink ref="P20" r:id="rId18" display="https://uk.farnell.com/multicomp-pro/mcwr06x2201ftl/res-2k2-1-0-1w-0603-thick-film/dp/2447320" xr:uid="{9E5E1C77-1D31-4810-BD8F-8A60793DE11A}"/>
    <hyperlink ref="P17" r:id="rId19" display="https://uk.farnell.com/multicomp-pro/mcwr06x1004ftl/res-1m-1-0-1w-0603-thick-film/dp/2447285" xr:uid="{2EA6635C-179B-4B85-81E8-DA76E691E15B}"/>
    <hyperlink ref="P16" r:id="rId20" display="https://uk.farnell.com/multicomp-pro/mcwr06x1202ftl/res-12k-1-0-1w-thick-film/dp/2447243" xr:uid="{7587FBCE-93DF-4AEB-BEAA-5328AA46C6E9}"/>
    <hyperlink ref="P15" r:id="rId21" display="https://uk.farnell.com/multicomp-pro/wr06x1002ftl/res-10k-1-75v-0603-thick-film/dp/2502397" xr:uid="{A4A64CD6-9BAD-4DD1-BBE3-BA749662577F}"/>
    <hyperlink ref="P14" r:id="rId22" display="https://uk.farnell.com/multicomp-pro/mcwr06x4300ftl/res-430r-1-0-1w-thick-film/dp/2447371" xr:uid="{43702FC4-CDD7-4CCB-8584-18A9D758A96B}"/>
    <hyperlink ref="P29" r:id="rId23" display="https://uk.farnell.com/koa/rk73z1jttd/res-jumper-2a-thick-film-0603/dp/4009217" xr:uid="{64A24E37-B80E-4F42-BF81-C59E41EB760E}"/>
    <hyperlink ref="P30" r:id="rId24" display="https://uk.rs-online.com/web/p/potentiometers/7377824P" xr:uid="{1991FE22-A657-4E6C-A56A-B35E8FAC8C07}"/>
    <hyperlink ref="P31" r:id="rId25" display="https://uk.farnell.com/on-semiconductor/mmbfj108/jfet-n-channel-25v-sot-23/dp/2453373" xr:uid="{1F7F1899-1ED1-4485-9F0C-A41E1456198F}"/>
    <hyperlink ref="P34" r:id="rId26" display="https://uk.farnell.com/renesas/dg408dyz/8ch-analog-mux-smd-soic16-408/dp/9663827?MER=BR-MER-PDP-RECO-STM72194" xr:uid="{73D30906-132B-40E7-A951-BA8D72308824}"/>
    <hyperlink ref="P35" r:id="rId27" location="anchorTechnicalDOCS" display="https://uk.farnell.com/texas-instruments/tl082ip/ic-op-amp-dual/dp/3117817 - anchorTechnicalDOCS" xr:uid="{C0FE5CFD-4C85-42A3-925C-843D0C0CFCAF}"/>
    <hyperlink ref="P36" r:id="rId28" display="https://uk.farnell.com/multicomp-pro/2227mc-08-03-18-f1/socket-ic-dil-0-3-8way/dp/1103844" xr:uid="{438414DA-BEB9-488E-995C-DEC986D51DED}"/>
    <hyperlink ref="P32" r:id="rId29" display="https://uk.farnell.com/multicomp-pro/mcemr-02-t/switch-2-way-spst-flush/dp/1524005" xr:uid="{21921372-53A1-4F71-8FDA-01E3A9A72013}"/>
    <hyperlink ref="P33" r:id="rId30" display="https://uk.farnell.com/multicomp-pro/mcepm-04/switch-dil-piano-smd-4way/dp/1522023" xr:uid="{54655BD5-3C0A-43AD-B088-A2E33B2F7C57}"/>
    <hyperlink ref="P7" r:id="rId31" display="https://uk.farnell.com/murata/grm31cr60j107mea8k/cap-100uf-6-3v-1206-x5r/dp/4128563" xr:uid="{FEFE5E3A-FB5D-4A12-A169-9187BAD18A89}"/>
    <hyperlink ref="P3" r:id="rId32" display="https://uk.farnell.com/amphenol-communications-solutions/77311-101-10lf/header-vert-10way/dp/1622254" xr:uid="{A8DF3CEF-6556-4AF7-B420-5DD3D37A310A}"/>
    <hyperlink ref="P19" r:id="rId33" display="https://uk.farnell.com/multicomp-pro/mcwr06x4701ftl/res-4k7-1-0-1w-0603-thick-film/dp/2447385" xr:uid="{7289F299-1D51-46E0-9A33-CD9B1A6CF703}"/>
    <hyperlink ref="P18" r:id="rId34" display="https://uk.farnell.com/multicomp-pro/mcwr06x7501ftl/res-7k5-1-0-1w-0603-thick-film/dp/2447435" xr:uid="{3F3DEB97-2B92-4E55-82BB-F1A7646C4F9B}"/>
  </hyperlinks>
  <pageMargins left="0.7" right="0.7" top="0.75" bottom="0.75" header="0.3" footer="0.3"/>
  <pageSetup paperSize="9" scale="56" orientation="landscape" r:id="rId35"/>
  <legacyDrawing r:id="rId36"/>
  <tableParts count="2">
    <tablePart r:id="rId37"/>
    <tablePart r:id="rId3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Final BOM</vt:lpstr>
      <vt:lpstr>'Final BOM'!Print_Area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BoM template (apprentice)</dc:title>
  <dc:subject/>
  <dc:creator>Zachary Rose</dc:creator>
  <cp:keywords/>
  <dc:description/>
  <cp:lastModifiedBy>Benjamin Bolton</cp:lastModifiedBy>
  <cp:revision/>
  <cp:lastPrinted>2026-02-24T08:09:41Z</cp:lastPrinted>
  <dcterms:created xsi:type="dcterms:W3CDTF">2024-04-18T13:21:44Z</dcterms:created>
  <dcterms:modified xsi:type="dcterms:W3CDTF">2026-04-09T15:24:59Z</dcterms:modified>
  <cp:category/>
  <cp:contentStatus/>
</cp:coreProperties>
</file>