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jects\5694\A-5694-2010-02-A\publish\"/>
    </mc:Choice>
  </mc:AlternateContent>
  <xr:revisionPtr revIDLastSave="0" documentId="13_ncr:1_{A09C30E7-6655-40A7-8759-92AE711BDB49}" xr6:coauthVersionLast="47" xr6:coauthVersionMax="47" xr10:uidLastSave="{00000000-0000-0000-0000-000000000000}"/>
  <bookViews>
    <workbookView xWindow="-23148" yWindow="2700" windowWidth="23256" windowHeight="13896" xr2:uid="{E744220E-C50D-43BB-8774-1419CA921BE3}"/>
  </bookViews>
  <sheets>
    <sheet name="Final BOM" sheetId="1" r:id="rId1"/>
  </sheets>
  <definedNames>
    <definedName name="_xlnm.Print_Area" localSheetId="0">'Final BOM'!$D$2:$Q$36</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L5" i="1"/>
  <c r="N5" i="1" s="1"/>
  <c r="P5" i="1" s="1"/>
  <c r="L4" i="1"/>
  <c r="N4" i="1" s="1"/>
  <c r="P4" i="1" s="1"/>
  <c r="L3" i="1"/>
  <c r="N3" i="1" s="1"/>
  <c r="N6" i="1"/>
  <c r="N7" i="1"/>
  <c r="N8" i="1"/>
  <c r="N9" i="1"/>
  <c r="N10" i="1"/>
  <c r="N11" i="1"/>
  <c r="N12" i="1"/>
  <c r="N13" i="1"/>
  <c r="N14" i="1"/>
  <c r="N15" i="1"/>
  <c r="N16" i="1"/>
  <c r="N17" i="1"/>
  <c r="P17" i="1" s="1"/>
  <c r="N18" i="1"/>
  <c r="P18" i="1" s="1"/>
  <c r="N19" i="1"/>
  <c r="N20" i="1"/>
  <c r="N21" i="1"/>
  <c r="N22" i="1"/>
  <c r="N23" i="1"/>
  <c r="N24" i="1"/>
  <c r="N25" i="1"/>
  <c r="N26" i="1"/>
  <c r="N27" i="1"/>
  <c r="N28" i="1"/>
  <c r="N29" i="1"/>
  <c r="N30" i="1"/>
  <c r="N31" i="1"/>
  <c r="N32" i="1"/>
  <c r="N33" i="1"/>
  <c r="N34" i="1"/>
  <c r="N35" i="1"/>
  <c r="P3" i="1" l="1"/>
  <c r="P6" i="1"/>
  <c r="P7" i="1"/>
  <c r="P8" i="1"/>
  <c r="P9" i="1"/>
  <c r="P10" i="1"/>
  <c r="P11" i="1"/>
  <c r="P12" i="1"/>
  <c r="P13" i="1"/>
  <c r="P14" i="1"/>
  <c r="P15" i="1"/>
  <c r="P16" i="1"/>
  <c r="P19" i="1"/>
  <c r="P20" i="1"/>
  <c r="P21" i="1"/>
  <c r="P22" i="1"/>
  <c r="P23" i="1"/>
  <c r="P24" i="1"/>
  <c r="P25" i="1"/>
  <c r="P26" i="1"/>
  <c r="P27" i="1"/>
  <c r="P28" i="1"/>
  <c r="P29" i="1"/>
  <c r="P30" i="1"/>
  <c r="P31" i="1"/>
  <c r="P32" i="1"/>
  <c r="P33" i="1"/>
  <c r="P34" i="1"/>
  <c r="P35"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89" i="1"/>
  <c r="S91" i="1"/>
  <c r="S95" i="1"/>
  <c r="S97" i="1"/>
  <c r="S98" i="1"/>
  <c r="S96" i="1"/>
  <c r="S94" i="1"/>
  <c r="S93" i="1"/>
  <c r="S92" i="1"/>
  <c r="S90" i="1"/>
  <c r="S88" i="1"/>
  <c r="S87" i="1"/>
  <c r="S86" i="1"/>
  <c r="S85" i="1"/>
  <c r="S84" i="1"/>
  <c r="S83" i="1"/>
  <c r="S82" i="1"/>
  <c r="S81" i="1"/>
  <c r="S80" i="1"/>
  <c r="S79" i="1"/>
  <c r="S78" i="1"/>
  <c r="S77" i="1"/>
  <c r="S76" i="1"/>
  <c r="S75" i="1"/>
  <c r="S74" i="1"/>
  <c r="S73" i="1"/>
  <c r="S72" i="1"/>
  <c r="S71" i="1"/>
  <c r="S70" i="1"/>
  <c r="S69" i="1"/>
  <c r="S68" i="1"/>
  <c r="S67" i="1"/>
  <c r="P3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Short</author>
    <author>Zachary Rose</author>
  </authors>
  <commentList>
    <comment ref="A2" authorId="0" shapeId="0" xr:uid="{91DBE765-C6AF-4FCE-9211-94B413C73776}">
      <text>
        <r>
          <rPr>
            <b/>
            <sz val="9"/>
            <color indexed="81"/>
            <rFont val="Tahoma"/>
            <charset val="1"/>
          </rPr>
          <t>Andrew Short:</t>
        </r>
        <r>
          <rPr>
            <sz val="9"/>
            <color indexed="81"/>
            <rFont val="Tahoma"/>
            <charset val="1"/>
          </rPr>
          <t xml:space="preserve">
Eg Resistor, IC, etc.</t>
        </r>
      </text>
    </comment>
    <comment ref="B2" authorId="0" shapeId="0" xr:uid="{905B43E4-A5A7-436F-BF3E-2E91A19018E4}">
      <text>
        <r>
          <rPr>
            <b/>
            <sz val="9"/>
            <color indexed="81"/>
            <rFont val="Tahoma"/>
            <charset val="1"/>
          </rPr>
          <t>Andrew Short:</t>
        </r>
        <r>
          <rPr>
            <sz val="9"/>
            <color indexed="81"/>
            <rFont val="Tahoma"/>
            <charset val="1"/>
          </rPr>
          <t xml:space="preserve">
If applicable, eg Ohms, Farads, etc.</t>
        </r>
      </text>
    </comment>
    <comment ref="D2" authorId="0" shapeId="0" xr:uid="{E1AC6740-F976-47E6-AE23-F3765B8FFBCE}">
      <text>
        <r>
          <rPr>
            <b/>
            <sz val="9"/>
            <color indexed="81"/>
            <rFont val="Tahoma"/>
            <charset val="1"/>
          </rPr>
          <t>Andrew Short:</t>
        </r>
        <r>
          <rPr>
            <sz val="9"/>
            <color indexed="81"/>
            <rFont val="Tahoma"/>
            <charset val="1"/>
          </rPr>
          <t xml:space="preserve">
From the schematic, eg R27, D49, etc.</t>
        </r>
      </text>
    </comment>
    <comment ref="F2" authorId="1" shapeId="0" xr:uid="{D1E8FDDA-DE0A-45C7-828A-7FDE6B44BD86}">
      <text>
        <r>
          <rPr>
            <sz val="11"/>
            <color theme="1"/>
            <rFont val="Calibri"/>
            <family val="2"/>
            <scheme val="minor"/>
          </rPr>
          <t>Zachary Rose:
Manufacturer Part number found on datasheet for component</t>
        </r>
      </text>
    </comment>
    <comment ref="G2" authorId="0" shapeId="0" xr:uid="{F1C0E583-D558-4A05-94B8-A9FA76C0BE8E}">
      <text>
        <r>
          <rPr>
            <b/>
            <sz val="9"/>
            <color indexed="81"/>
            <rFont val="Tahoma"/>
            <charset val="1"/>
          </rPr>
          <t>Andrew Short:</t>
        </r>
        <r>
          <rPr>
            <sz val="9"/>
            <color indexed="81"/>
            <rFont val="Tahoma"/>
            <charset val="1"/>
          </rPr>
          <t xml:space="preserve">
How many parts you will use from department stock (not Woodchester)</t>
        </r>
      </text>
    </comment>
    <comment ref="H2" authorId="0" shapeId="0" xr:uid="{FE8080EE-66B8-4862-BB1F-43569908DC1C}">
      <text>
        <r>
          <rPr>
            <b/>
            <sz val="9"/>
            <color indexed="81"/>
            <rFont val="Tahoma"/>
            <charset val="1"/>
          </rPr>
          <t>Andrew Short:</t>
        </r>
        <r>
          <rPr>
            <sz val="9"/>
            <color indexed="81"/>
            <rFont val="Tahoma"/>
            <charset val="1"/>
          </rPr>
          <t xml:space="preserve">
Where to get, eg Farnell, Woodchester, etc.</t>
        </r>
      </text>
    </comment>
    <comment ref="I2" authorId="0" shapeId="0" xr:uid="{E02F6917-1494-4D61-84C6-FF62555E06E9}">
      <text>
        <r>
          <rPr>
            <b/>
            <sz val="9"/>
            <color indexed="81"/>
            <rFont val="Tahoma"/>
            <family val="2"/>
          </rPr>
          <t>Andrew Short:</t>
        </r>
        <r>
          <rPr>
            <sz val="9"/>
            <color indexed="81"/>
            <rFont val="Tahoma"/>
            <family val="2"/>
          </rPr>
          <t xml:space="preserve">
Tick to show parts are currently available.</t>
        </r>
      </text>
    </comment>
    <comment ref="J2" authorId="1" shapeId="0" xr:uid="{58E48922-4B18-41CE-91FD-989C29149B54}">
      <text>
        <r>
          <rPr>
            <sz val="11"/>
            <color theme="1"/>
            <rFont val="Calibri"/>
            <family val="2"/>
            <scheme val="minor"/>
          </rPr>
          <t>Zachary Rose:
Part number found on supplier link; individual to each supplier even for same part.</t>
        </r>
      </text>
    </comment>
    <comment ref="K2" authorId="1" shapeId="0" xr:uid="{3489F4D1-4798-4868-931B-AEE1CF74B220}">
      <text>
        <r>
          <rPr>
            <sz val="11"/>
            <color theme="1"/>
            <rFont val="Calibri"/>
            <family val="2"/>
            <scheme val="minor"/>
          </rPr>
          <t>Zachary Rose:
Quantity of components needed per board</t>
        </r>
      </text>
    </comment>
    <comment ref="L2" authorId="0" shapeId="0" xr:uid="{C0D39D1D-7856-4BFF-B920-A0F3DF1E386A}">
      <text>
        <r>
          <rPr>
            <sz val="11"/>
            <color theme="1"/>
            <rFont val="Calibri"/>
            <family val="2"/>
            <scheme val="minor"/>
          </rPr>
          <t>Andrew Short:
Based on number of boards x Number of units per board + some spares minus number in stock internally.</t>
        </r>
      </text>
    </comment>
    <comment ref="M2" authorId="1" shapeId="0" xr:uid="{01CC39B8-5F64-4EAF-80FB-3BC6BB387534}">
      <text>
        <r>
          <rPr>
            <sz val="11"/>
            <color theme="1"/>
            <rFont val="Calibri"/>
            <family val="2"/>
            <scheme val="minor"/>
          </rPr>
          <t>Zachary Rose:
Minimum order quantity quoted by supplier for each component</t>
        </r>
      </text>
    </comment>
    <comment ref="N2" authorId="1" shapeId="0" xr:uid="{01D5A340-3080-45CD-A676-E6DC8F2CEB08}">
      <text>
        <r>
          <rPr>
            <sz val="11"/>
            <color theme="1"/>
            <rFont val="Calibri"/>
            <family val="2"/>
            <scheme val="minor"/>
          </rPr>
          <t>Zachary Rose:
The final/total order quantity with respect to the MOQ or multiple from the supplier.
If you need 26 resistors and the MOQ is 10 and the multiple is 10. Then you will have to order 30.</t>
        </r>
      </text>
    </comment>
    <comment ref="O2" authorId="0" shapeId="0" xr:uid="{D5F1D6BD-4D35-4194-B28D-07AB6E526611}">
      <text>
        <r>
          <rPr>
            <b/>
            <sz val="9"/>
            <color indexed="81"/>
            <rFont val="Tahoma"/>
            <charset val="1"/>
          </rPr>
          <t>Andrew Short:</t>
        </r>
        <r>
          <rPr>
            <sz val="9"/>
            <color indexed="81"/>
            <rFont val="Tahoma"/>
            <charset val="1"/>
          </rPr>
          <t xml:space="preserve">
The purchase price of each unit to be bought.</t>
        </r>
      </text>
    </comment>
    <comment ref="P2" authorId="1" shapeId="0" xr:uid="{93DF30D0-8041-4C3D-9765-BB7D6D92B969}">
      <text>
        <r>
          <rPr>
            <sz val="11"/>
            <color theme="1"/>
            <rFont val="Calibri"/>
            <family val="2"/>
            <scheme val="minor"/>
          </rPr>
          <t>Zachary Rose:
Price/unit * order quantity in £</t>
        </r>
      </text>
    </comment>
    <comment ref="Q2" authorId="0" shapeId="0" xr:uid="{5C122981-E978-4EFE-8F5F-1BF403A51A98}">
      <text>
        <r>
          <rPr>
            <sz val="11"/>
            <color theme="1"/>
            <rFont val="Calibri"/>
            <family val="2"/>
            <scheme val="minor"/>
          </rPr>
          <t>Zachary Rose:  Supplier Web link 
-needs to be checked as old parts will have incorrect links due to duplicated supplier number when parts are phased out.</t>
        </r>
      </text>
    </comment>
    <comment ref="R2" authorId="1" shapeId="0" xr:uid="{9A9990C6-2F81-47EA-AE61-8CEDCF90E60D}">
      <text>
        <r>
          <rPr>
            <sz val="11"/>
            <color theme="1"/>
            <rFont val="Calibri"/>
            <family val="2"/>
            <scheme val="minor"/>
          </rPr>
          <t>Zachary Rose:
For Andy or someone responsible to tick when they are happy with all the information you have provided.</t>
        </r>
      </text>
    </comment>
    <comment ref="T2" authorId="1" shapeId="0" xr:uid="{13A19C89-11D7-4209-AD99-E2F597E498BB}">
      <text>
        <r>
          <rPr>
            <sz val="11"/>
            <color theme="1"/>
            <rFont val="Calibri"/>
            <family val="2"/>
            <scheme val="minor"/>
          </rPr>
          <t>Zachary Rose:
Self-explanatory: Enter how many boards you need to assemble and build.</t>
        </r>
      </text>
    </comment>
  </commentList>
</comments>
</file>

<file path=xl/sharedStrings.xml><?xml version="1.0" encoding="utf-8"?>
<sst xmlns="http://schemas.openxmlformats.org/spreadsheetml/2006/main" count="112" uniqueCount="80">
  <si>
    <t>Component Type</t>
  </si>
  <si>
    <t>Value</t>
  </si>
  <si>
    <t>Reference Designators</t>
  </si>
  <si>
    <t>Manufacturer</t>
  </si>
  <si>
    <t>Man. Part Number</t>
  </si>
  <si>
    <t>Dept. stock</t>
  </si>
  <si>
    <t>Supplier</t>
  </si>
  <si>
    <t>Stock Available</t>
  </si>
  <si>
    <t>Supplier Part no.</t>
  </si>
  <si>
    <t>Board Quantity</t>
  </si>
  <si>
    <t>Order Quantity</t>
  </si>
  <si>
    <t>MOQ</t>
  </si>
  <si>
    <t>Final Order Quantity</t>
  </si>
  <si>
    <t>Price/unit</t>
  </si>
  <si>
    <t>Total Cost</t>
  </si>
  <si>
    <t>Supplier Link</t>
  </si>
  <si>
    <t>ED/Andy Approved</t>
  </si>
  <si>
    <t>Enter number of boards in Cell below:</t>
  </si>
  <si>
    <t>√</t>
  </si>
  <si>
    <t>Order Cost</t>
  </si>
  <si>
    <t>Stock available</t>
  </si>
  <si>
    <t>X</t>
  </si>
  <si>
    <t xml:space="preserve">Extend if you have more different components than this list is long. And even so you should not have more than 75 different components for simple boards </t>
  </si>
  <si>
    <t>Board Number</t>
  </si>
  <si>
    <t>TDK</t>
  </si>
  <si>
    <t>C1608X5R1H104K080AA</t>
  </si>
  <si>
    <t>AVX</t>
  </si>
  <si>
    <t>06033D105KAT2A</t>
  </si>
  <si>
    <t>06035C103K4T2A</t>
  </si>
  <si>
    <t>06035A220JAT2A</t>
  </si>
  <si>
    <t>AVAGO</t>
  </si>
  <si>
    <t>HSMF-A201-A00J1</t>
  </si>
  <si>
    <t>MULTICOMP PRO</t>
  </si>
  <si>
    <t>BOURNS</t>
  </si>
  <si>
    <t>MCWR06X4302FTL</t>
  </si>
  <si>
    <t>MCWR06X6202FTL</t>
  </si>
  <si>
    <t>MCWR06X3902FTL</t>
  </si>
  <si>
    <t>MCWR06X3602FTL</t>
  </si>
  <si>
    <t>MCWR06X2202FTL</t>
  </si>
  <si>
    <t>MCWR06X1502FTL</t>
  </si>
  <si>
    <t>MCWR06X1503FTL</t>
  </si>
  <si>
    <t>MCWR06X1003FTL</t>
  </si>
  <si>
    <t>MCWR06X2201FTL</t>
  </si>
  <si>
    <t>MCWR06X1004FTL</t>
  </si>
  <si>
    <t>MCWR06X1202FTL</t>
  </si>
  <si>
    <t>WR06X1002FTL</t>
  </si>
  <si>
    <t>MCWR06X4300FTL</t>
  </si>
  <si>
    <t>STMICROELECTRONICS</t>
  </si>
  <si>
    <t>BAT54SFILM</t>
  </si>
  <si>
    <t>KOA</t>
  </si>
  <si>
    <t>RK73Z1JTTD</t>
  </si>
  <si>
    <t>PTV09A-4020F-B104</t>
  </si>
  <si>
    <t>ONSEMI</t>
  </si>
  <si>
    <t>MMBFJ108</t>
  </si>
  <si>
    <t>RENESAS</t>
  </si>
  <si>
    <t>DG408DYZ</t>
  </si>
  <si>
    <t>TEXAS INSTRUMENTS</t>
  </si>
  <si>
    <t>TL082IP</t>
  </si>
  <si>
    <t>2227MC-08-03-18-F1</t>
  </si>
  <si>
    <t>MCEMR-02-T</t>
  </si>
  <si>
    <t>MCEPM-04</t>
  </si>
  <si>
    <t>MURATA</t>
  </si>
  <si>
    <t>GRM31CR60J107MEA8K</t>
  </si>
  <si>
    <t>MCWR06X4701FTL</t>
  </si>
  <si>
    <t>MCWR06X7501FTL</t>
  </si>
  <si>
    <t>Package</t>
  </si>
  <si>
    <t>Resistor</t>
  </si>
  <si>
    <t xml:space="preserve">Res 10K0 1% 50V 100ppm 0.1W                                 </t>
  </si>
  <si>
    <t>R0603</t>
  </si>
  <si>
    <t>R3;R9;R14;R32;R33;R34;R35;R36;R45;R46;R47</t>
  </si>
  <si>
    <t>MCWR06X1002FTL</t>
  </si>
  <si>
    <t>Farnell</t>
  </si>
  <si>
    <t>MCWR06X1002FTL MULTICOMP PRO, SMD Chip Resistor, 10 kohm, ± 1% | Farnell® UK</t>
  </si>
  <si>
    <t xml:space="preserve">Res 2K2 1% 50V 100ppm 0.1W                                  </t>
  </si>
  <si>
    <t>R25;R26;R27;R28;R29;R42</t>
  </si>
  <si>
    <t>MCWR06X2201FTL MULTICOMP PRO, SMD Chip Resistor, 2.2 kohm, ± 1% | Farnell® UK</t>
  </si>
  <si>
    <t xml:space="preserve">Res 20K0 1% 50V 100ppm 0.1W                                 </t>
  </si>
  <si>
    <t>R12</t>
  </si>
  <si>
    <t>MCWR06X2002FTL</t>
  </si>
  <si>
    <t>MCWR06X2002FTL MULTICOMP PRO, SMD Chip Resistor, 20 kohm, ± 1% | Farnell®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</si>
</sst>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000"/>
  </numFmts>
  <fonts count="16"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theme="1"/>
      <name val="Calibri"/>
      <family val="2"/>
      <scheme val="minor"/>
    </font>
    <font>
      <b/>
      <sz val="11"/>
      <color rgb="FF3F3F3F"/>
      <name val="Calibri"/>
      <scheme val="minor"/>
    </font>
    <font>
      <b/>
      <sz val="14"/>
      <color theme="1"/>
      <name val="Calibri"/>
      <family val="2"/>
      <scheme val="minor"/>
    </font>
    <font>
      <b/>
      <sz val="11"/>
      <color rgb="FF9C5700"/>
      <name val="Calibri"/>
      <family val="2"/>
      <scheme val="minor"/>
    </font>
    <font>
      <sz val="9"/>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2F2F2"/>
      </patternFill>
    </fill>
    <fill>
      <patternFill patternType="solid">
        <fgColor rgb="FFFFFF00"/>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diagonal/>
    </border>
  </borders>
  <cellStyleXfs count="7">
    <xf numFmtId="0" fontId="0"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10" fillId="5" borderId="10" applyNumberFormat="0" applyFont="0" applyAlignment="0" applyProtection="0"/>
    <xf numFmtId="0" fontId="11" fillId="6" borderId="11" applyNumberFormat="0" applyAlignment="0" applyProtection="0"/>
  </cellStyleXfs>
  <cellXfs count="33">
    <xf numFmtId="0" fontId="0" fillId="0" borderId="0" xfId="0"/>
    <xf numFmtId="0" fontId="1" fillId="0" borderId="0" xfId="0" applyFont="1"/>
    <xf numFmtId="0" fontId="0" fillId="0" borderId="2" xfId="0" quotePrefix="1" applyBorder="1"/>
    <xf numFmtId="0" fontId="0" fillId="0" borderId="2" xfId="0" applyBorder="1"/>
    <xf numFmtId="0" fontId="8" fillId="4" borderId="1" xfId="3" applyBorder="1"/>
    <xf numFmtId="0" fontId="7" fillId="3" borderId="0" xfId="2"/>
    <xf numFmtId="0" fontId="6" fillId="2" borderId="0" xfId="1"/>
    <xf numFmtId="0" fontId="0" fillId="0" borderId="4" xfId="0" applyBorder="1"/>
    <xf numFmtId="0" fontId="1" fillId="0" borderId="2" xfId="0" applyFont="1" applyBorder="1"/>
    <xf numFmtId="0" fontId="0" fillId="0" borderId="5" xfId="0" applyBorder="1"/>
    <xf numFmtId="0" fontId="1" fillId="0" borderId="3" xfId="0" applyFont="1" applyBorder="1"/>
    <xf numFmtId="0" fontId="0" fillId="0" borderId="7" xfId="0" applyBorder="1"/>
    <xf numFmtId="0" fontId="0" fillId="0" borderId="8" xfId="0" quotePrefix="1" applyBorder="1"/>
    <xf numFmtId="0" fontId="0" fillId="0" borderId="8" xfId="0" applyBorder="1"/>
    <xf numFmtId="0" fontId="0" fillId="0" borderId="9" xfId="0" quotePrefix="1" applyBorder="1"/>
    <xf numFmtId="0" fontId="1" fillId="7" borderId="12" xfId="0" applyFont="1" applyFill="1" applyBorder="1"/>
    <xf numFmtId="0" fontId="11" fillId="7" borderId="12" xfId="6" applyFill="1" applyBorder="1"/>
    <xf numFmtId="0" fontId="0" fillId="0" borderId="13" xfId="0" applyBorder="1"/>
    <xf numFmtId="0" fontId="1" fillId="0" borderId="6" xfId="0" applyFont="1" applyBorder="1"/>
    <xf numFmtId="0" fontId="13" fillId="4" borderId="1" xfId="3" applyFont="1" applyBorder="1"/>
    <xf numFmtId="0" fontId="14" fillId="0" borderId="0" xfId="0" applyFont="1"/>
    <xf numFmtId="0" fontId="12" fillId="5" borderId="12" xfId="5" applyFont="1" applyBorder="1"/>
    <xf numFmtId="49" fontId="11" fillId="7" borderId="12" xfId="6" applyNumberForma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5" fillId="5" borderId="12" xfId="5" applyFont="1" applyBorder="1"/>
    <xf numFmtId="0" fontId="1" fillId="0" borderId="2" xfId="0" applyFont="1" applyBorder="1" applyAlignment="1">
      <alignment wrapText="1"/>
    </xf>
    <xf numFmtId="164" fontId="0" fillId="0" borderId="2" xfId="0" applyNumberFormat="1" applyBorder="1"/>
    <xf numFmtId="0" fontId="9" fillId="0" borderId="0" xfId="4"/>
    <xf numFmtId="0" fontId="0" fillId="0" borderId="8" xfId="0" quotePrefix="1" applyBorder="1" applyAlignment="1">
      <alignment horizontal="right"/>
    </xf>
    <xf numFmtId="0" fontId="0" fillId="0" borderId="2" xfId="0" quotePrefix="1" applyBorder="1" applyAlignment="1">
      <alignment wrapText="1"/>
    </xf>
    <xf numFmtId="165" fontId="0" fillId="0" borderId="6" xfId="0" applyNumberFormat="1" applyBorder="1"/>
    <xf numFmtId="165" fontId="0" fillId="0" borderId="14" xfId="0" applyNumberFormat="1" applyBorder="1"/>
  </cellXfs>
  <cellStyles count="7">
    <cellStyle name="Bad" xfId="2" builtinId="27"/>
    <cellStyle name="Good" xfId="1" builtinId="26"/>
    <cellStyle name="Hyperlink" xfId="4" builtinId="8"/>
    <cellStyle name="Neutral" xfId="3" builtinId="28"/>
    <cellStyle name="Normal" xfId="0" builtinId="0"/>
    <cellStyle name="Note" xfId="5" builtinId="10"/>
    <cellStyle name="Output" xfId="6" builtinId="21"/>
  </cellStyles>
  <dxfs count="10">
    <dxf>
      <fill>
        <patternFill patternType="solid">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3346D-C8C7-431A-87BD-F138AD591C43}" name="Table2" displayName="Table2" ref="D47:D49" totalsRowShown="0">
  <autoFilter ref="D47:D49" xr:uid="{6823346D-C8C7-431A-87BD-F138AD591C43}"/>
  <tableColumns count="1">
    <tableColumn id="1" xr3:uid="{3D054846-007C-497E-B5A3-C2732266A995}" name="Stock avail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6B630-9DFA-4BC9-A7AC-64E3ABA1021F}" name="Table1" displayName="Table1" ref="S66:S171" totalsRowShown="0">
  <autoFilter ref="S66:S171" xr:uid="{3B86B630-9DFA-4BC9-A7AC-64E3ABA1021F}"/>
  <tableColumns count="1">
    <tableColumn id="1" xr3:uid="{AE90BC9E-6BB8-4424-971D-003834AD0320}" name="Board Number"/>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uk.farnell.com/multicomp-pro/mcwr06x2002ftl/res-20k-1-0-1w-0603-thick-film/dp/2447293" TargetMode="External"/><Relationship Id="rId7" Type="http://schemas.openxmlformats.org/officeDocument/2006/relationships/table" Target="../tables/table2.xml"/><Relationship Id="rId2" Type="http://schemas.openxmlformats.org/officeDocument/2006/relationships/hyperlink" Target="https://uk.farnell.com/multicomp-pro/mcwr06x2201ftl/res-2k2-1-0-1w-0603-thick-film/dp/2447320" TargetMode="External"/><Relationship Id="rId1" Type="http://schemas.openxmlformats.org/officeDocument/2006/relationships/hyperlink" Target="https://uk.farnell.com/multicomp-pro/mcwr06x1002ftl/res-10k-1-0-1w-0603-thick-film/dp/2447230"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7CD-71AB-4A7A-8967-0A56E8876832}">
  <sheetPr>
    <pageSetUpPr fitToPage="1"/>
  </sheetPr>
  <dimension ref="A2:T141"/>
  <sheetViews>
    <sheetView tabSelected="1" zoomScale="85" zoomScaleNormal="85" workbookViewId="0">
      <selection activeCell="O6" sqref="O6"/>
    </sheetView>
  </sheetViews>
  <sheetFormatPr defaultRowHeight="14.4" x14ac:dyDescent="0.3"/>
  <cols>
    <col min="1" max="1" width="16" bestFit="1" customWidth="1"/>
    <col min="2" max="2" width="52.5546875" customWidth="1"/>
    <col min="3" max="3" width="10.5546875" customWidth="1"/>
    <col min="4" max="4" width="21.6640625" customWidth="1"/>
    <col min="5" max="5" width="20.5546875" hidden="1" customWidth="1"/>
    <col min="6" max="6" width="21.109375" hidden="1" customWidth="1"/>
    <col min="7" max="7" width="11.109375" hidden="1" customWidth="1"/>
    <col min="8" max="8" width="14.44140625" bestFit="1" customWidth="1"/>
    <col min="9" max="9" width="10.33203125" customWidth="1"/>
    <col min="10" max="10" width="16.109375" customWidth="1"/>
    <col min="11" max="11" width="8.88671875" customWidth="1"/>
    <col min="12" max="12" width="9.6640625" customWidth="1"/>
    <col min="13" max="13" width="6.33203125" customWidth="1"/>
    <col min="14" max="14" width="9.5546875" customWidth="1"/>
    <col min="15" max="15" width="12" customWidth="1"/>
    <col min="16" max="16" width="11.44140625" bestFit="1" customWidth="1"/>
    <col min="17" max="17" width="112" customWidth="1"/>
    <col min="18" max="18" width="2.33203125" customWidth="1"/>
    <col min="19" max="19" width="5" customWidth="1"/>
    <col min="20" max="20" width="5.5546875" customWidth="1"/>
  </cols>
  <sheetData>
    <row r="2" spans="1:20" s="1" customFormat="1" ht="43.2" x14ac:dyDescent="0.3">
      <c r="A2" s="8" t="s">
        <v>0</v>
      </c>
      <c r="B2" s="8" t="s">
        <v>1</v>
      </c>
      <c r="C2" s="8" t="s">
        <v>65</v>
      </c>
      <c r="D2" s="8" t="s">
        <v>2</v>
      </c>
      <c r="E2" s="8" t="s">
        <v>3</v>
      </c>
      <c r="F2" s="8" t="s">
        <v>4</v>
      </c>
      <c r="G2" s="8" t="s">
        <v>5</v>
      </c>
      <c r="H2" s="8" t="s">
        <v>6</v>
      </c>
      <c r="I2" s="26" t="s">
        <v>7</v>
      </c>
      <c r="J2" s="10" t="s">
        <v>8</v>
      </c>
      <c r="K2" s="23" t="s">
        <v>9</v>
      </c>
      <c r="L2" s="24" t="s">
        <v>10</v>
      </c>
      <c r="M2" s="15" t="s">
        <v>11</v>
      </c>
      <c r="N2" s="22" t="s">
        <v>12</v>
      </c>
      <c r="O2" s="18" t="s">
        <v>13</v>
      </c>
      <c r="P2" s="8" t="s">
        <v>14</v>
      </c>
      <c r="Q2" s="8" t="s">
        <v>15</v>
      </c>
      <c r="R2" s="8" t="s">
        <v>16</v>
      </c>
      <c r="T2" s="19" t="s">
        <v>17</v>
      </c>
    </row>
    <row r="3" spans="1:20" ht="28.8" x14ac:dyDescent="0.3">
      <c r="A3" s="3" t="s">
        <v>66</v>
      </c>
      <c r="B3" s="3" t="s">
        <v>67</v>
      </c>
      <c r="C3" s="2" t="s">
        <v>68</v>
      </c>
      <c r="D3" s="30" t="s">
        <v>69</v>
      </c>
      <c r="E3" s="2" t="s">
        <v>26</v>
      </c>
      <c r="F3" s="2" t="s">
        <v>70</v>
      </c>
      <c r="G3" s="3"/>
      <c r="H3" s="2" t="s">
        <v>71</v>
      </c>
      <c r="I3" s="9" t="s">
        <v>21</v>
      </c>
      <c r="J3" s="12">
        <v>2447230</v>
      </c>
      <c r="K3" s="11">
        <v>11</v>
      </c>
      <c r="L3" s="17">
        <f t="shared" ref="L3:L5" si="0">($T$3)*K3</f>
        <v>66</v>
      </c>
      <c r="M3" s="16">
        <v>10</v>
      </c>
      <c r="N3" s="16">
        <f t="shared" ref="N3:N5" si="1">IF(I3&lt;&gt;"√",CEILING(L3,M3),0)</f>
        <v>70</v>
      </c>
      <c r="O3" s="31">
        <f>IF(N3&lt;100,0.0047,0.0031)</f>
        <v>4.7000000000000002E-3</v>
      </c>
      <c r="P3" s="27">
        <f t="shared" ref="P3:P5" si="2">N3*O3</f>
        <v>0.32900000000000001</v>
      </c>
      <c r="Q3" s="28" t="s">
        <v>72</v>
      </c>
      <c r="R3" s="3"/>
      <c r="T3" s="4">
        <v>6</v>
      </c>
    </row>
    <row r="4" spans="1:20" x14ac:dyDescent="0.3">
      <c r="A4" s="3" t="s">
        <v>66</v>
      </c>
      <c r="B4" s="3" t="s">
        <v>73</v>
      </c>
      <c r="C4" s="2" t="s">
        <v>68</v>
      </c>
      <c r="D4" t="s">
        <v>74</v>
      </c>
      <c r="E4" s="2" t="s">
        <v>26</v>
      </c>
      <c r="F4" s="2" t="s">
        <v>42</v>
      </c>
      <c r="G4" s="3"/>
      <c r="H4" s="2" t="s">
        <v>71</v>
      </c>
      <c r="I4" s="9" t="s">
        <v>21</v>
      </c>
      <c r="J4" s="12">
        <v>2447320</v>
      </c>
      <c r="K4" s="11">
        <v>6</v>
      </c>
      <c r="L4" s="17">
        <f t="shared" si="0"/>
        <v>36</v>
      </c>
      <c r="M4" s="16">
        <v>10</v>
      </c>
      <c r="N4" s="16">
        <f t="shared" si="1"/>
        <v>40</v>
      </c>
      <c r="O4" s="31">
        <v>4.8999999999999998E-3</v>
      </c>
      <c r="P4" s="27">
        <f t="shared" si="2"/>
        <v>0.19600000000000001</v>
      </c>
      <c r="Q4" s="28" t="s">
        <v>75</v>
      </c>
      <c r="R4" s="3"/>
    </row>
    <row r="5" spans="1:20" x14ac:dyDescent="0.3">
      <c r="A5" s="3" t="s">
        <v>66</v>
      </c>
      <c r="B5" s="3" t="s">
        <v>76</v>
      </c>
      <c r="C5" s="3" t="s">
        <v>68</v>
      </c>
      <c r="D5" s="2" t="s">
        <v>77</v>
      </c>
      <c r="E5" s="2" t="s">
        <v>32</v>
      </c>
      <c r="F5" s="2" t="s">
        <v>78</v>
      </c>
      <c r="G5" s="3"/>
      <c r="H5" s="2" t="s">
        <v>71</v>
      </c>
      <c r="I5" s="9" t="s">
        <v>21</v>
      </c>
      <c r="J5" s="12">
        <v>2447293</v>
      </c>
      <c r="K5" s="11">
        <v>1</v>
      </c>
      <c r="L5" s="17">
        <f t="shared" si="0"/>
        <v>6</v>
      </c>
      <c r="M5" s="16">
        <v>10</v>
      </c>
      <c r="N5" s="16">
        <f t="shared" si="1"/>
        <v>10</v>
      </c>
      <c r="O5" s="31">
        <v>5.1000000000000004E-3</v>
      </c>
      <c r="P5" s="27">
        <f t="shared" si="2"/>
        <v>5.1000000000000004E-2</v>
      </c>
      <c r="Q5" s="28" t="s">
        <v>79</v>
      </c>
      <c r="R5" s="3"/>
    </row>
    <row r="6" spans="1:20" x14ac:dyDescent="0.3">
      <c r="A6" s="3"/>
      <c r="B6" s="3"/>
      <c r="C6" s="3"/>
      <c r="D6" s="2"/>
      <c r="E6" s="3" t="s">
        <v>61</v>
      </c>
      <c r="F6" s="3" t="s">
        <v>62</v>
      </c>
      <c r="G6" s="3"/>
      <c r="H6" s="3"/>
      <c r="I6" s="9"/>
      <c r="J6" s="13"/>
      <c r="K6" s="11"/>
      <c r="L6" s="17"/>
      <c r="M6" s="16"/>
      <c r="N6" s="16">
        <f t="shared" ref="N6:N35" si="3">IF(I6&lt;&gt;"√",CEILING(L6,M6),0)</f>
        <v>0</v>
      </c>
      <c r="O6" s="31"/>
      <c r="P6" s="27">
        <f t="shared" ref="P6:P35" si="4">N6*O6</f>
        <v>0</v>
      </c>
      <c r="Q6" s="28"/>
      <c r="R6" s="3"/>
    </row>
    <row r="7" spans="1:20" ht="14.4" customHeight="1" x14ac:dyDescent="0.3">
      <c r="A7" s="3"/>
      <c r="B7" s="3"/>
      <c r="C7" s="3"/>
      <c r="D7" s="30"/>
      <c r="E7" s="2" t="s">
        <v>24</v>
      </c>
      <c r="F7" s="3" t="s">
        <v>25</v>
      </c>
      <c r="G7" s="3"/>
      <c r="H7" s="3"/>
      <c r="I7" s="9"/>
      <c r="J7" s="13"/>
      <c r="K7" s="11"/>
      <c r="L7" s="17"/>
      <c r="M7" s="16"/>
      <c r="N7" s="16">
        <f t="shared" si="3"/>
        <v>0</v>
      </c>
      <c r="O7" s="31"/>
      <c r="P7" s="27">
        <f t="shared" si="4"/>
        <v>0</v>
      </c>
      <c r="Q7" s="28"/>
      <c r="R7" s="3"/>
    </row>
    <row r="8" spans="1:20" x14ac:dyDescent="0.3">
      <c r="A8" s="3"/>
      <c r="B8" s="3"/>
      <c r="C8" s="3"/>
      <c r="D8" s="2"/>
      <c r="E8" s="2" t="s">
        <v>26</v>
      </c>
      <c r="F8" s="2" t="s">
        <v>27</v>
      </c>
      <c r="G8" s="3"/>
      <c r="H8" s="2"/>
      <c r="I8" s="9"/>
      <c r="J8" s="12"/>
      <c r="K8" s="11"/>
      <c r="L8" s="17"/>
      <c r="M8" s="16"/>
      <c r="N8" s="16">
        <f t="shared" si="3"/>
        <v>0</v>
      </c>
      <c r="O8" s="31"/>
      <c r="P8" s="27">
        <f t="shared" si="4"/>
        <v>0</v>
      </c>
      <c r="Q8" s="28"/>
      <c r="R8" s="3"/>
    </row>
    <row r="9" spans="1:20" x14ac:dyDescent="0.3">
      <c r="A9" s="3"/>
      <c r="B9" s="3"/>
      <c r="C9" s="3"/>
      <c r="D9" s="2"/>
      <c r="E9" s="2" t="s">
        <v>26</v>
      </c>
      <c r="F9" s="2" t="s">
        <v>28</v>
      </c>
      <c r="G9" s="3"/>
      <c r="H9" s="2"/>
      <c r="I9" s="9"/>
      <c r="J9" s="12"/>
      <c r="K9" s="11"/>
      <c r="L9" s="17"/>
      <c r="M9" s="16"/>
      <c r="N9" s="16">
        <f t="shared" si="3"/>
        <v>0</v>
      </c>
      <c r="O9" s="31"/>
      <c r="P9" s="27">
        <f t="shared" si="4"/>
        <v>0</v>
      </c>
      <c r="Q9" s="28"/>
      <c r="R9" s="3"/>
    </row>
    <row r="10" spans="1:20" x14ac:dyDescent="0.3">
      <c r="A10" s="3"/>
      <c r="B10" s="3"/>
      <c r="C10" s="3"/>
      <c r="E10" s="2" t="s">
        <v>26</v>
      </c>
      <c r="F10" s="2" t="s">
        <v>29</v>
      </c>
      <c r="G10" s="3"/>
      <c r="H10" s="2"/>
      <c r="I10" s="9"/>
      <c r="J10" s="12"/>
      <c r="K10" s="11"/>
      <c r="L10" s="17"/>
      <c r="M10" s="16"/>
      <c r="N10" s="16">
        <f t="shared" si="3"/>
        <v>0</v>
      </c>
      <c r="O10" s="31"/>
      <c r="P10" s="27">
        <f t="shared" si="4"/>
        <v>0</v>
      </c>
      <c r="Q10" s="28"/>
      <c r="R10" s="3"/>
    </row>
    <row r="11" spans="1:20" x14ac:dyDescent="0.3">
      <c r="A11" s="3"/>
      <c r="C11" s="3"/>
      <c r="D11" s="2"/>
      <c r="E11" s="2" t="s">
        <v>30</v>
      </c>
      <c r="F11" s="2" t="s">
        <v>31</v>
      </c>
      <c r="G11" s="3"/>
      <c r="H11" s="2"/>
      <c r="I11" s="9"/>
      <c r="J11" s="12"/>
      <c r="K11" s="11"/>
      <c r="L11" s="17"/>
      <c r="M11" s="16"/>
      <c r="N11" s="16">
        <f t="shared" si="3"/>
        <v>0</v>
      </c>
      <c r="O11" s="31"/>
      <c r="P11" s="27">
        <f t="shared" si="4"/>
        <v>0</v>
      </c>
      <c r="Q11" s="28"/>
      <c r="R11" s="3"/>
    </row>
    <row r="12" spans="1:20" x14ac:dyDescent="0.3">
      <c r="A12" s="3"/>
      <c r="B12" s="2"/>
      <c r="C12" s="3"/>
      <c r="D12" s="2"/>
      <c r="E12" s="2" t="s">
        <v>47</v>
      </c>
      <c r="F12" s="2" t="s">
        <v>48</v>
      </c>
      <c r="G12" s="3"/>
      <c r="H12" s="2"/>
      <c r="I12" s="9"/>
      <c r="J12" s="12"/>
      <c r="K12" s="11"/>
      <c r="L12" s="17"/>
      <c r="M12" s="16"/>
      <c r="N12" s="16">
        <f t="shared" si="3"/>
        <v>0</v>
      </c>
      <c r="O12" s="31"/>
      <c r="P12" s="27">
        <f t="shared" si="4"/>
        <v>0</v>
      </c>
      <c r="Q12" s="28"/>
      <c r="R12" s="3"/>
    </row>
    <row r="13" spans="1:20" x14ac:dyDescent="0.3">
      <c r="A13" s="3"/>
      <c r="B13" s="2"/>
      <c r="C13" s="3"/>
      <c r="D13" s="2"/>
      <c r="E13" s="2" t="s">
        <v>32</v>
      </c>
      <c r="F13" s="2" t="s">
        <v>46</v>
      </c>
      <c r="G13" s="3"/>
      <c r="H13" s="2"/>
      <c r="I13" s="9"/>
      <c r="J13" s="12"/>
      <c r="K13" s="11"/>
      <c r="L13" s="17"/>
      <c r="M13" s="16"/>
      <c r="N13" s="16">
        <f t="shared" si="3"/>
        <v>0</v>
      </c>
      <c r="O13" s="31"/>
      <c r="P13" s="27">
        <f t="shared" si="4"/>
        <v>0</v>
      </c>
      <c r="Q13" s="28"/>
      <c r="R13" s="3"/>
    </row>
    <row r="14" spans="1:20" x14ac:dyDescent="0.3">
      <c r="A14" s="3"/>
      <c r="B14" s="2"/>
      <c r="C14" s="2"/>
      <c r="D14" s="2"/>
      <c r="E14" s="2" t="s">
        <v>32</v>
      </c>
      <c r="F14" s="2" t="s">
        <v>45</v>
      </c>
      <c r="G14" s="3"/>
      <c r="H14" s="2"/>
      <c r="I14" s="9"/>
      <c r="J14" s="12"/>
      <c r="K14" s="11"/>
      <c r="L14" s="17"/>
      <c r="M14" s="16"/>
      <c r="N14" s="16">
        <f t="shared" si="3"/>
        <v>0</v>
      </c>
      <c r="O14" s="31"/>
      <c r="P14" s="27">
        <f t="shared" si="4"/>
        <v>0</v>
      </c>
      <c r="Q14" s="28"/>
      <c r="R14" s="3"/>
    </row>
    <row r="15" spans="1:20" x14ac:dyDescent="0.3">
      <c r="A15" s="3"/>
      <c r="B15" s="2"/>
      <c r="C15" s="2"/>
      <c r="D15" s="2"/>
      <c r="E15" s="3" t="s">
        <v>32</v>
      </c>
      <c r="F15" s="3" t="s">
        <v>44</v>
      </c>
      <c r="H15" s="3"/>
      <c r="I15" s="9"/>
      <c r="J15" s="13"/>
      <c r="K15" s="11"/>
      <c r="L15" s="17"/>
      <c r="M15" s="16"/>
      <c r="N15" s="16">
        <f t="shared" si="3"/>
        <v>0</v>
      </c>
      <c r="O15" s="31"/>
      <c r="P15" s="27">
        <f t="shared" si="4"/>
        <v>0</v>
      </c>
      <c r="Q15" s="28"/>
      <c r="R15" s="3"/>
    </row>
    <row r="16" spans="1:20" x14ac:dyDescent="0.3">
      <c r="A16" s="3"/>
      <c r="B16" s="3"/>
      <c r="C16" s="3"/>
      <c r="D16" s="2"/>
      <c r="E16" s="2" t="s">
        <v>32</v>
      </c>
      <c r="F16" s="3" t="s">
        <v>43</v>
      </c>
      <c r="G16" s="3"/>
      <c r="H16" s="3"/>
      <c r="I16" s="9"/>
      <c r="J16" s="13"/>
      <c r="K16" s="11"/>
      <c r="L16" s="17"/>
      <c r="M16" s="16"/>
      <c r="N16" s="16">
        <f t="shared" si="3"/>
        <v>0</v>
      </c>
      <c r="O16" s="31"/>
      <c r="P16" s="27">
        <f t="shared" si="4"/>
        <v>0</v>
      </c>
      <c r="Q16" s="28"/>
      <c r="R16" s="3"/>
    </row>
    <row r="17" spans="1:18" x14ac:dyDescent="0.3">
      <c r="A17" s="3"/>
      <c r="B17" s="3"/>
      <c r="C17" s="3"/>
      <c r="D17" s="2"/>
      <c r="E17" s="2" t="s">
        <v>32</v>
      </c>
      <c r="F17" s="3" t="s">
        <v>64</v>
      </c>
      <c r="G17" s="3"/>
      <c r="H17" s="3"/>
      <c r="I17" s="9"/>
      <c r="J17" s="13"/>
      <c r="K17" s="11"/>
      <c r="L17" s="17"/>
      <c r="M17" s="16"/>
      <c r="N17" s="16">
        <f t="shared" si="3"/>
        <v>0</v>
      </c>
      <c r="O17" s="31"/>
      <c r="P17" s="27">
        <f t="shared" si="4"/>
        <v>0</v>
      </c>
      <c r="Q17" s="28"/>
      <c r="R17" s="3"/>
    </row>
    <row r="18" spans="1:18" x14ac:dyDescent="0.3">
      <c r="A18" s="3"/>
      <c r="B18" s="3"/>
      <c r="C18" s="3"/>
      <c r="D18" s="2"/>
      <c r="E18" s="2" t="s">
        <v>32</v>
      </c>
      <c r="F18" s="3" t="s">
        <v>63</v>
      </c>
      <c r="G18" s="3"/>
      <c r="H18" s="3"/>
      <c r="I18" s="9"/>
      <c r="J18" s="13"/>
      <c r="K18" s="11"/>
      <c r="L18" s="17"/>
      <c r="M18" s="16"/>
      <c r="N18" s="16">
        <f t="shared" si="3"/>
        <v>0</v>
      </c>
      <c r="O18" s="31"/>
      <c r="P18" s="27">
        <f t="shared" si="4"/>
        <v>0</v>
      </c>
      <c r="Q18" s="28"/>
      <c r="R18" s="3"/>
    </row>
    <row r="19" spans="1:18" x14ac:dyDescent="0.3">
      <c r="A19" s="3"/>
      <c r="B19" s="3"/>
      <c r="C19" s="3"/>
      <c r="D19" s="2"/>
      <c r="E19" s="2" t="s">
        <v>32</v>
      </c>
      <c r="F19" s="2" t="s">
        <v>42</v>
      </c>
      <c r="G19" s="3"/>
      <c r="H19" s="2"/>
      <c r="I19" s="9"/>
      <c r="J19" s="12"/>
      <c r="K19" s="11"/>
      <c r="L19" s="17"/>
      <c r="M19" s="16"/>
      <c r="N19" s="16">
        <f t="shared" si="3"/>
        <v>0</v>
      </c>
      <c r="O19" s="31"/>
      <c r="P19" s="27">
        <f t="shared" si="4"/>
        <v>0</v>
      </c>
      <c r="Q19" s="28"/>
      <c r="R19" s="3"/>
    </row>
    <row r="20" spans="1:18" x14ac:dyDescent="0.3">
      <c r="A20" s="3"/>
      <c r="B20" s="2"/>
      <c r="C20" s="2"/>
      <c r="D20" s="2"/>
      <c r="E20" s="2" t="s">
        <v>32</v>
      </c>
      <c r="F20" s="2" t="s">
        <v>41</v>
      </c>
      <c r="G20" s="3"/>
      <c r="H20" s="2"/>
      <c r="I20" s="9"/>
      <c r="J20" s="12"/>
      <c r="K20" s="11"/>
      <c r="L20" s="17"/>
      <c r="M20" s="16"/>
      <c r="N20" s="16">
        <f t="shared" si="3"/>
        <v>0</v>
      </c>
      <c r="O20" s="31"/>
      <c r="P20" s="27">
        <f t="shared" si="4"/>
        <v>0</v>
      </c>
      <c r="Q20" s="28"/>
      <c r="R20" s="3"/>
    </row>
    <row r="21" spans="1:18" x14ac:dyDescent="0.3">
      <c r="A21" s="3"/>
      <c r="B21" s="3"/>
      <c r="C21" s="3"/>
      <c r="D21" s="2"/>
      <c r="E21" s="2" t="s">
        <v>32</v>
      </c>
      <c r="F21" s="2" t="s">
        <v>40</v>
      </c>
      <c r="G21" s="3"/>
      <c r="H21" s="2"/>
      <c r="I21" s="9"/>
      <c r="J21" s="12"/>
      <c r="K21" s="11"/>
      <c r="L21" s="17"/>
      <c r="M21" s="16"/>
      <c r="N21" s="16">
        <f t="shared" si="3"/>
        <v>0</v>
      </c>
      <c r="O21" s="31"/>
      <c r="P21" s="27">
        <f t="shared" si="4"/>
        <v>0</v>
      </c>
      <c r="Q21" s="28"/>
      <c r="R21" s="3"/>
    </row>
    <row r="22" spans="1:18" x14ac:dyDescent="0.3">
      <c r="A22" s="3"/>
      <c r="B22" s="2"/>
      <c r="C22" s="2"/>
      <c r="D22" s="2"/>
      <c r="E22" s="2" t="s">
        <v>32</v>
      </c>
      <c r="F22" s="2" t="s">
        <v>39</v>
      </c>
      <c r="G22" s="3"/>
      <c r="H22" s="2"/>
      <c r="I22" s="9"/>
      <c r="J22" s="12"/>
      <c r="K22" s="11"/>
      <c r="L22" s="17"/>
      <c r="M22" s="16"/>
      <c r="N22" s="16">
        <f t="shared" si="3"/>
        <v>0</v>
      </c>
      <c r="O22" s="31"/>
      <c r="P22" s="27">
        <f t="shared" si="4"/>
        <v>0</v>
      </c>
      <c r="Q22" s="28"/>
      <c r="R22" s="3"/>
    </row>
    <row r="23" spans="1:18" x14ac:dyDescent="0.3">
      <c r="A23" s="3"/>
      <c r="B23" s="2"/>
      <c r="C23" s="2"/>
      <c r="D23" s="2"/>
      <c r="E23" s="2" t="s">
        <v>32</v>
      </c>
      <c r="F23" s="2" t="s">
        <v>38</v>
      </c>
      <c r="G23" s="3"/>
      <c r="H23" s="2"/>
      <c r="I23" s="9"/>
      <c r="J23" s="12"/>
      <c r="K23" s="11"/>
      <c r="L23" s="17"/>
      <c r="M23" s="16"/>
      <c r="N23" s="16">
        <f t="shared" si="3"/>
        <v>0</v>
      </c>
      <c r="O23" s="31"/>
      <c r="P23" s="27">
        <f t="shared" si="4"/>
        <v>0</v>
      </c>
      <c r="Q23" s="28"/>
      <c r="R23" s="3"/>
    </row>
    <row r="24" spans="1:18" x14ac:dyDescent="0.3">
      <c r="A24" s="3"/>
      <c r="B24" s="2"/>
      <c r="C24" s="2"/>
      <c r="D24" s="2"/>
      <c r="E24" s="2" t="s">
        <v>32</v>
      </c>
      <c r="F24" s="2" t="s">
        <v>37</v>
      </c>
      <c r="G24" s="3"/>
      <c r="H24" s="2"/>
      <c r="I24" s="9"/>
      <c r="J24" s="12"/>
      <c r="K24" s="11"/>
      <c r="L24" s="17"/>
      <c r="M24" s="16"/>
      <c r="N24" s="16">
        <f t="shared" si="3"/>
        <v>0</v>
      </c>
      <c r="O24" s="31"/>
      <c r="P24" s="27">
        <f t="shared" si="4"/>
        <v>0</v>
      </c>
      <c r="Q24" s="28"/>
      <c r="R24" s="3"/>
    </row>
    <row r="25" spans="1:18" x14ac:dyDescent="0.3">
      <c r="A25" s="3"/>
      <c r="B25" s="2"/>
      <c r="C25" s="2"/>
      <c r="D25" s="2"/>
      <c r="E25" s="2" t="s">
        <v>32</v>
      </c>
      <c r="F25" s="2" t="s">
        <v>36</v>
      </c>
      <c r="G25" s="3"/>
      <c r="H25" s="2"/>
      <c r="I25" s="9"/>
      <c r="J25" s="12"/>
      <c r="K25" s="11"/>
      <c r="L25" s="17"/>
      <c r="M25" s="16"/>
      <c r="N25" s="16">
        <f t="shared" si="3"/>
        <v>0</v>
      </c>
      <c r="O25" s="31"/>
      <c r="P25" s="27">
        <f t="shared" si="4"/>
        <v>0</v>
      </c>
      <c r="Q25" s="28"/>
      <c r="R25" s="3"/>
    </row>
    <row r="26" spans="1:18" x14ac:dyDescent="0.3">
      <c r="A26" s="3"/>
      <c r="B26" s="2"/>
      <c r="C26" s="2"/>
      <c r="D26" s="2"/>
      <c r="E26" s="2" t="s">
        <v>32</v>
      </c>
      <c r="F26" s="2" t="s">
        <v>34</v>
      </c>
      <c r="G26" s="3"/>
      <c r="H26" s="2"/>
      <c r="I26" s="9"/>
      <c r="J26" s="12"/>
      <c r="K26" s="11"/>
      <c r="L26" s="17"/>
      <c r="M26" s="16"/>
      <c r="N26" s="16">
        <f t="shared" si="3"/>
        <v>0</v>
      </c>
      <c r="O26" s="31"/>
      <c r="P26" s="27">
        <f t="shared" si="4"/>
        <v>0</v>
      </c>
      <c r="Q26" s="28"/>
      <c r="R26" s="3"/>
    </row>
    <row r="27" spans="1:18" x14ac:dyDescent="0.3">
      <c r="A27" s="3"/>
      <c r="B27" s="2"/>
      <c r="C27" s="2"/>
      <c r="D27" s="2"/>
      <c r="E27" s="2" t="s">
        <v>32</v>
      </c>
      <c r="F27" s="2" t="s">
        <v>35</v>
      </c>
      <c r="G27" s="3"/>
      <c r="H27" s="2"/>
      <c r="I27" s="9"/>
      <c r="J27" s="12"/>
      <c r="K27" s="11"/>
      <c r="L27" s="17"/>
      <c r="M27" s="16"/>
      <c r="N27" s="16">
        <f t="shared" si="3"/>
        <v>0</v>
      </c>
      <c r="O27" s="31"/>
      <c r="P27" s="27">
        <f t="shared" si="4"/>
        <v>0</v>
      </c>
      <c r="Q27" s="28"/>
      <c r="R27" s="3"/>
    </row>
    <row r="28" spans="1:18" x14ac:dyDescent="0.3">
      <c r="A28" s="3"/>
      <c r="B28" s="2"/>
      <c r="C28" s="2"/>
      <c r="D28" s="2"/>
      <c r="E28" s="2" t="s">
        <v>49</v>
      </c>
      <c r="F28" s="2" t="s">
        <v>50</v>
      </c>
      <c r="G28" s="3"/>
      <c r="H28" s="2"/>
      <c r="I28" s="9"/>
      <c r="J28" s="12"/>
      <c r="K28" s="11"/>
      <c r="L28" s="17"/>
      <c r="M28" s="16"/>
      <c r="N28" s="16">
        <f t="shared" si="3"/>
        <v>0</v>
      </c>
      <c r="O28" s="31"/>
      <c r="P28" s="27">
        <f t="shared" si="4"/>
        <v>0</v>
      </c>
      <c r="Q28" s="28"/>
      <c r="R28" s="3"/>
    </row>
    <row r="29" spans="1:18" x14ac:dyDescent="0.3">
      <c r="A29" s="3"/>
      <c r="B29" s="2"/>
      <c r="C29" s="2"/>
      <c r="D29" s="2"/>
      <c r="E29" s="2" t="s">
        <v>33</v>
      </c>
      <c r="F29" s="2" t="s">
        <v>51</v>
      </c>
      <c r="G29" s="3"/>
      <c r="H29" s="2"/>
      <c r="I29" s="9"/>
      <c r="J29" s="29"/>
      <c r="K29" s="11"/>
      <c r="L29" s="17"/>
      <c r="M29" s="16"/>
      <c r="N29" s="16">
        <f t="shared" si="3"/>
        <v>0</v>
      </c>
      <c r="O29" s="31"/>
      <c r="P29" s="27">
        <f t="shared" si="4"/>
        <v>0</v>
      </c>
      <c r="Q29" s="28"/>
      <c r="R29" s="3"/>
    </row>
    <row r="30" spans="1:18" x14ac:dyDescent="0.3">
      <c r="A30" s="3"/>
      <c r="B30" s="2"/>
      <c r="C30" s="2"/>
      <c r="D30" s="2"/>
      <c r="E30" s="2" t="s">
        <v>52</v>
      </c>
      <c r="F30" s="2" t="s">
        <v>53</v>
      </c>
      <c r="G30" s="3"/>
      <c r="H30" s="2"/>
      <c r="I30" s="9"/>
      <c r="J30" s="12"/>
      <c r="K30" s="11"/>
      <c r="L30" s="17"/>
      <c r="M30" s="16"/>
      <c r="N30" s="16">
        <f t="shared" si="3"/>
        <v>0</v>
      </c>
      <c r="O30" s="31"/>
      <c r="P30" s="27">
        <f t="shared" si="4"/>
        <v>0</v>
      </c>
      <c r="Q30" s="28"/>
      <c r="R30" s="3"/>
    </row>
    <row r="31" spans="1:18" x14ac:dyDescent="0.3">
      <c r="A31" s="3"/>
      <c r="B31" s="2"/>
      <c r="C31" s="2"/>
      <c r="D31" s="2"/>
      <c r="E31" s="2" t="s">
        <v>32</v>
      </c>
      <c r="F31" s="2" t="s">
        <v>59</v>
      </c>
      <c r="G31" s="3"/>
      <c r="H31" s="2"/>
      <c r="I31" s="9"/>
      <c r="J31" s="12"/>
      <c r="K31" s="11"/>
      <c r="L31" s="17"/>
      <c r="M31" s="16"/>
      <c r="N31" s="16">
        <f t="shared" si="3"/>
        <v>0</v>
      </c>
      <c r="O31" s="31"/>
      <c r="P31" s="27">
        <f t="shared" si="4"/>
        <v>0</v>
      </c>
      <c r="Q31" s="28"/>
      <c r="R31" s="3"/>
    </row>
    <row r="32" spans="1:18" x14ac:dyDescent="0.3">
      <c r="A32" s="3"/>
      <c r="B32" s="2"/>
      <c r="C32" s="2"/>
      <c r="D32" s="2"/>
      <c r="E32" s="2" t="s">
        <v>32</v>
      </c>
      <c r="F32" s="2" t="s">
        <v>60</v>
      </c>
      <c r="G32" s="3"/>
      <c r="H32" s="2"/>
      <c r="I32" s="9"/>
      <c r="J32" s="12"/>
      <c r="K32" s="11"/>
      <c r="L32" s="17"/>
      <c r="M32" s="16"/>
      <c r="N32" s="16">
        <f t="shared" si="3"/>
        <v>0</v>
      </c>
      <c r="O32" s="31"/>
      <c r="P32" s="27">
        <f t="shared" si="4"/>
        <v>0</v>
      </c>
      <c r="Q32" s="28"/>
      <c r="R32" s="3"/>
    </row>
    <row r="33" spans="1:18" x14ac:dyDescent="0.3">
      <c r="A33" s="3"/>
      <c r="B33" s="2"/>
      <c r="C33" s="2"/>
      <c r="D33" s="2"/>
      <c r="E33" s="2" t="s">
        <v>54</v>
      </c>
      <c r="F33" s="2" t="s">
        <v>55</v>
      </c>
      <c r="G33" s="3"/>
      <c r="H33" s="2"/>
      <c r="I33" s="9"/>
      <c r="J33" s="12"/>
      <c r="K33" s="11"/>
      <c r="L33" s="17"/>
      <c r="M33" s="16"/>
      <c r="N33" s="16">
        <f t="shared" si="3"/>
        <v>0</v>
      </c>
      <c r="O33" s="31"/>
      <c r="P33" s="27">
        <f t="shared" si="4"/>
        <v>0</v>
      </c>
      <c r="Q33" s="28"/>
      <c r="R33" s="3"/>
    </row>
    <row r="34" spans="1:18" x14ac:dyDescent="0.3">
      <c r="A34" s="3"/>
      <c r="B34" s="2"/>
      <c r="C34" s="2"/>
      <c r="D34" s="2"/>
      <c r="E34" s="2" t="s">
        <v>56</v>
      </c>
      <c r="F34" s="2" t="s">
        <v>57</v>
      </c>
      <c r="G34" s="3"/>
      <c r="H34" s="2"/>
      <c r="I34" s="9"/>
      <c r="J34" s="12"/>
      <c r="K34" s="11"/>
      <c r="L34" s="17"/>
      <c r="M34" s="16"/>
      <c r="N34" s="16">
        <f t="shared" si="3"/>
        <v>0</v>
      </c>
      <c r="O34" s="32"/>
      <c r="P34" s="27">
        <f t="shared" si="4"/>
        <v>0</v>
      </c>
      <c r="Q34" s="28"/>
      <c r="R34" s="3"/>
    </row>
    <row r="35" spans="1:18" x14ac:dyDescent="0.3">
      <c r="A35" s="3"/>
      <c r="B35" s="3"/>
      <c r="C35" s="3"/>
      <c r="D35" s="2"/>
      <c r="E35" s="2" t="s">
        <v>32</v>
      </c>
      <c r="F35" s="2" t="s">
        <v>58</v>
      </c>
      <c r="G35" s="3"/>
      <c r="H35" s="2"/>
      <c r="I35" s="9"/>
      <c r="J35" s="14"/>
      <c r="K35" s="7"/>
      <c r="L35" s="17"/>
      <c r="M35" s="16"/>
      <c r="N35" s="16">
        <f t="shared" si="3"/>
        <v>0</v>
      </c>
      <c r="O35" s="32"/>
      <c r="P35" s="27">
        <f t="shared" si="4"/>
        <v>0</v>
      </c>
      <c r="Q35" s="28"/>
      <c r="R35" s="3"/>
    </row>
    <row r="36" spans="1:18" ht="18" x14ac:dyDescent="0.35">
      <c r="O36" s="25" t="s">
        <v>19</v>
      </c>
      <c r="P36" s="21">
        <f>SUM(P3:P35)</f>
        <v>0.57600000000000007</v>
      </c>
      <c r="Q36" s="20"/>
    </row>
    <row r="37" spans="1:18" x14ac:dyDescent="0.3">
      <c r="Q37" s="20"/>
    </row>
    <row r="38" spans="1:18" x14ac:dyDescent="0.3">
      <c r="Q38" s="20"/>
    </row>
    <row r="39" spans="1:18" x14ac:dyDescent="0.3">
      <c r="Q39" s="20"/>
    </row>
    <row r="40" spans="1:18" x14ac:dyDescent="0.3">
      <c r="Q40" s="20"/>
    </row>
    <row r="41" spans="1:18" x14ac:dyDescent="0.3">
      <c r="Q41" s="20"/>
    </row>
    <row r="42" spans="1:18" x14ac:dyDescent="0.3">
      <c r="Q42" s="20"/>
    </row>
    <row r="43" spans="1:18" x14ac:dyDescent="0.3">
      <c r="Q43" s="20"/>
    </row>
    <row r="44" spans="1:18" x14ac:dyDescent="0.3">
      <c r="Q44" s="20"/>
    </row>
    <row r="45" spans="1:18" x14ac:dyDescent="0.3">
      <c r="Q45" s="20"/>
    </row>
    <row r="46" spans="1:18" x14ac:dyDescent="0.3">
      <c r="Q46" s="20"/>
    </row>
    <row r="47" spans="1:18" x14ac:dyDescent="0.3">
      <c r="D47" t="s">
        <v>20</v>
      </c>
      <c r="Q47" s="20"/>
    </row>
    <row r="48" spans="1:18" x14ac:dyDescent="0.3">
      <c r="D48" s="6" t="s">
        <v>18</v>
      </c>
      <c r="Q48" s="20"/>
    </row>
    <row r="49" spans="4:19" x14ac:dyDescent="0.3">
      <c r="D49" s="5" t="s">
        <v>21</v>
      </c>
      <c r="Q49" s="20"/>
    </row>
    <row r="63" spans="4:19" ht="36.75" customHeight="1" x14ac:dyDescent="0.3">
      <c r="S63" t="s">
        <v>22</v>
      </c>
    </row>
    <row r="66" spans="19:19" x14ac:dyDescent="0.3">
      <c r="S66" t="s">
        <v>23</v>
      </c>
    </row>
    <row r="67" spans="19:19" x14ac:dyDescent="0.3">
      <c r="S67">
        <f>SUM(T3)</f>
        <v>6</v>
      </c>
    </row>
    <row r="68" spans="19:19" x14ac:dyDescent="0.3">
      <c r="S68">
        <f>SUM(T3)</f>
        <v>6</v>
      </c>
    </row>
    <row r="69" spans="19:19" x14ac:dyDescent="0.3">
      <c r="S69">
        <f>SUM(T3)</f>
        <v>6</v>
      </c>
    </row>
    <row r="70" spans="19:19" x14ac:dyDescent="0.3">
      <c r="S70">
        <f>SUM(T3)</f>
        <v>6</v>
      </c>
    </row>
    <row r="71" spans="19:19" x14ac:dyDescent="0.3">
      <c r="S71">
        <f>SUM(T3)</f>
        <v>6</v>
      </c>
    </row>
    <row r="72" spans="19:19" x14ac:dyDescent="0.3">
      <c r="S72">
        <f>SUM(T3)</f>
        <v>6</v>
      </c>
    </row>
    <row r="73" spans="19:19" x14ac:dyDescent="0.3">
      <c r="S73">
        <f>SUM(T3)</f>
        <v>6</v>
      </c>
    </row>
    <row r="74" spans="19:19" x14ac:dyDescent="0.3">
      <c r="S74">
        <f>SUM(T3)</f>
        <v>6</v>
      </c>
    </row>
    <row r="75" spans="19:19" x14ac:dyDescent="0.3">
      <c r="S75">
        <f>SUM(T3)</f>
        <v>6</v>
      </c>
    </row>
    <row r="76" spans="19:19" x14ac:dyDescent="0.3">
      <c r="S76">
        <f>SUM(T3)</f>
        <v>6</v>
      </c>
    </row>
    <row r="77" spans="19:19" x14ac:dyDescent="0.3">
      <c r="S77">
        <f>SUM(T3)</f>
        <v>6</v>
      </c>
    </row>
    <row r="78" spans="19:19" x14ac:dyDescent="0.3">
      <c r="S78">
        <f>SUM(T3)</f>
        <v>6</v>
      </c>
    </row>
    <row r="79" spans="19:19" x14ac:dyDescent="0.3">
      <c r="S79">
        <f>SUM(T3)</f>
        <v>6</v>
      </c>
    </row>
    <row r="80" spans="19:19" x14ac:dyDescent="0.3">
      <c r="S80">
        <f>SUM(T3)</f>
        <v>6</v>
      </c>
    </row>
    <row r="81" spans="19:19" x14ac:dyDescent="0.3">
      <c r="S81">
        <f>SUM(T3)</f>
        <v>6</v>
      </c>
    </row>
    <row r="82" spans="19:19" x14ac:dyDescent="0.3">
      <c r="S82">
        <f>SUM(T3)</f>
        <v>6</v>
      </c>
    </row>
    <row r="83" spans="19:19" x14ac:dyDescent="0.3">
      <c r="S83">
        <f>SUM(T3)</f>
        <v>6</v>
      </c>
    </row>
    <row r="84" spans="19:19" x14ac:dyDescent="0.3">
      <c r="S84">
        <f>SUM(T3)</f>
        <v>6</v>
      </c>
    </row>
    <row r="85" spans="19:19" x14ac:dyDescent="0.3">
      <c r="S85">
        <f>SUM(T3)</f>
        <v>6</v>
      </c>
    </row>
    <row r="86" spans="19:19" x14ac:dyDescent="0.3">
      <c r="S86">
        <f>SUM(T3)</f>
        <v>6</v>
      </c>
    </row>
    <row r="87" spans="19:19" x14ac:dyDescent="0.3">
      <c r="S87">
        <f>SUM(T3)</f>
        <v>6</v>
      </c>
    </row>
    <row r="88" spans="19:19" x14ac:dyDescent="0.3">
      <c r="S88">
        <f>SUM(T3)</f>
        <v>6</v>
      </c>
    </row>
    <row r="89" spans="19:19" x14ac:dyDescent="0.3">
      <c r="S89">
        <f>SUM(T3)</f>
        <v>6</v>
      </c>
    </row>
    <row r="90" spans="19:19" x14ac:dyDescent="0.3">
      <c r="S90">
        <f>SUM(T3)</f>
        <v>6</v>
      </c>
    </row>
    <row r="91" spans="19:19" x14ac:dyDescent="0.3">
      <c r="S91">
        <f>SUM(T3)</f>
        <v>6</v>
      </c>
    </row>
    <row r="92" spans="19:19" x14ac:dyDescent="0.3">
      <c r="S92">
        <f>SUM(T3)</f>
        <v>6</v>
      </c>
    </row>
    <row r="93" spans="19:19" x14ac:dyDescent="0.3">
      <c r="S93">
        <f>SUM(T3)</f>
        <v>6</v>
      </c>
    </row>
    <row r="94" spans="19:19" x14ac:dyDescent="0.3">
      <c r="S94">
        <f>SUM(T3)</f>
        <v>6</v>
      </c>
    </row>
    <row r="95" spans="19:19" x14ac:dyDescent="0.3">
      <c r="S95">
        <f>SUM(T3)</f>
        <v>6</v>
      </c>
    </row>
    <row r="96" spans="19:19" x14ac:dyDescent="0.3">
      <c r="S96">
        <f>SUM(T3)</f>
        <v>6</v>
      </c>
    </row>
    <row r="97" spans="19:19" x14ac:dyDescent="0.3">
      <c r="S97">
        <f>SUM(T3)</f>
        <v>6</v>
      </c>
    </row>
    <row r="98" spans="19:19" x14ac:dyDescent="0.3">
      <c r="S98">
        <f>SUM(T3)</f>
        <v>6</v>
      </c>
    </row>
    <row r="99" spans="19:19" x14ac:dyDescent="0.3">
      <c r="S99">
        <f>SUM(T3)</f>
        <v>6</v>
      </c>
    </row>
    <row r="100" spans="19:19" x14ac:dyDescent="0.3">
      <c r="S100">
        <f>SUM(T3)</f>
        <v>6</v>
      </c>
    </row>
    <row r="101" spans="19:19" x14ac:dyDescent="0.3">
      <c r="S101">
        <f>SUM(T3)</f>
        <v>6</v>
      </c>
    </row>
    <row r="102" spans="19:19" x14ac:dyDescent="0.3">
      <c r="S102">
        <f>SUM(T3)</f>
        <v>6</v>
      </c>
    </row>
    <row r="103" spans="19:19" x14ac:dyDescent="0.3">
      <c r="S103">
        <f>SUM(T3)</f>
        <v>6</v>
      </c>
    </row>
    <row r="104" spans="19:19" x14ac:dyDescent="0.3">
      <c r="S104">
        <f>SUM(T3)</f>
        <v>6</v>
      </c>
    </row>
    <row r="105" spans="19:19" x14ac:dyDescent="0.3">
      <c r="S105">
        <f>SUM(T3)</f>
        <v>6</v>
      </c>
    </row>
    <row r="106" spans="19:19" x14ac:dyDescent="0.3">
      <c r="S106">
        <f>SUM(T3)</f>
        <v>6</v>
      </c>
    </row>
    <row r="107" spans="19:19" x14ac:dyDescent="0.3">
      <c r="S107">
        <f>SUM(T3)</f>
        <v>6</v>
      </c>
    </row>
    <row r="108" spans="19:19" x14ac:dyDescent="0.3">
      <c r="S108">
        <f>SUM(T3)</f>
        <v>6</v>
      </c>
    </row>
    <row r="109" spans="19:19" x14ac:dyDescent="0.3">
      <c r="S109">
        <f>SUM(T3)</f>
        <v>6</v>
      </c>
    </row>
    <row r="110" spans="19:19" x14ac:dyDescent="0.3">
      <c r="S110">
        <f>SUM(T3)</f>
        <v>6</v>
      </c>
    </row>
    <row r="111" spans="19:19" x14ac:dyDescent="0.3">
      <c r="S111">
        <f>SUM(T3)</f>
        <v>6</v>
      </c>
    </row>
    <row r="112" spans="19:19" x14ac:dyDescent="0.3">
      <c r="S112">
        <f>SUM(T3)</f>
        <v>6</v>
      </c>
    </row>
    <row r="113" spans="19:19" x14ac:dyDescent="0.3">
      <c r="S113">
        <f>SUM(T3)</f>
        <v>6</v>
      </c>
    </row>
    <row r="114" spans="19:19" x14ac:dyDescent="0.3">
      <c r="S114">
        <f>SUM(T3)</f>
        <v>6</v>
      </c>
    </row>
    <row r="115" spans="19:19" x14ac:dyDescent="0.3">
      <c r="S115">
        <f>SUM(T3)</f>
        <v>6</v>
      </c>
    </row>
    <row r="116" spans="19:19" x14ac:dyDescent="0.3">
      <c r="S116">
        <f>SUM(T3)</f>
        <v>6</v>
      </c>
    </row>
    <row r="117" spans="19:19" x14ac:dyDescent="0.3">
      <c r="S117">
        <f>SUM(T3)</f>
        <v>6</v>
      </c>
    </row>
    <row r="118" spans="19:19" x14ac:dyDescent="0.3">
      <c r="S118">
        <f>SUM(T3)</f>
        <v>6</v>
      </c>
    </row>
    <row r="119" spans="19:19" x14ac:dyDescent="0.3">
      <c r="S119">
        <f>SUM(T3)</f>
        <v>6</v>
      </c>
    </row>
    <row r="120" spans="19:19" x14ac:dyDescent="0.3">
      <c r="S120">
        <f>SUM(T3)</f>
        <v>6</v>
      </c>
    </row>
    <row r="121" spans="19:19" x14ac:dyDescent="0.3">
      <c r="S121">
        <f>SUM(T3)</f>
        <v>6</v>
      </c>
    </row>
    <row r="122" spans="19:19" x14ac:dyDescent="0.3">
      <c r="S122">
        <f>SUM(T3)</f>
        <v>6</v>
      </c>
    </row>
    <row r="123" spans="19:19" x14ac:dyDescent="0.3">
      <c r="S123">
        <f>SUM(T3)</f>
        <v>6</v>
      </c>
    </row>
    <row r="124" spans="19:19" x14ac:dyDescent="0.3">
      <c r="S124">
        <f>SUM(T3)</f>
        <v>6</v>
      </c>
    </row>
    <row r="125" spans="19:19" x14ac:dyDescent="0.3">
      <c r="S125">
        <f>SUM(T3)</f>
        <v>6</v>
      </c>
    </row>
    <row r="126" spans="19:19" x14ac:dyDescent="0.3">
      <c r="S126">
        <f>SUM(T3)</f>
        <v>6</v>
      </c>
    </row>
    <row r="127" spans="19:19" x14ac:dyDescent="0.3">
      <c r="S127">
        <f>SUM(T3)</f>
        <v>6</v>
      </c>
    </row>
    <row r="128" spans="19:19" x14ac:dyDescent="0.3">
      <c r="S128">
        <f>SUM(T3)</f>
        <v>6</v>
      </c>
    </row>
    <row r="129" spans="19:19" x14ac:dyDescent="0.3">
      <c r="S129">
        <f>SUM(T3)</f>
        <v>6</v>
      </c>
    </row>
    <row r="130" spans="19:19" x14ac:dyDescent="0.3">
      <c r="S130">
        <f>SUM(T3)</f>
        <v>6</v>
      </c>
    </row>
    <row r="131" spans="19:19" x14ac:dyDescent="0.3">
      <c r="S131">
        <f>SUM(T3)</f>
        <v>6</v>
      </c>
    </row>
    <row r="132" spans="19:19" x14ac:dyDescent="0.3">
      <c r="S132">
        <f>SUM(T3)</f>
        <v>6</v>
      </c>
    </row>
    <row r="133" spans="19:19" x14ac:dyDescent="0.3">
      <c r="S133">
        <f>SUM(T3)</f>
        <v>6</v>
      </c>
    </row>
    <row r="134" spans="19:19" x14ac:dyDescent="0.3">
      <c r="S134">
        <f>SUM(T3)</f>
        <v>6</v>
      </c>
    </row>
    <row r="135" spans="19:19" x14ac:dyDescent="0.3">
      <c r="S135">
        <f>SUM(T3)</f>
        <v>6</v>
      </c>
    </row>
    <row r="136" spans="19:19" x14ac:dyDescent="0.3">
      <c r="S136">
        <f>SUM(T3)</f>
        <v>6</v>
      </c>
    </row>
    <row r="137" spans="19:19" x14ac:dyDescent="0.3">
      <c r="S137">
        <f>SUM(T3)</f>
        <v>6</v>
      </c>
    </row>
    <row r="138" spans="19:19" x14ac:dyDescent="0.3">
      <c r="S138">
        <f>SUM(T3)</f>
        <v>6</v>
      </c>
    </row>
    <row r="139" spans="19:19" x14ac:dyDescent="0.3">
      <c r="S139">
        <f>SUM(T3)</f>
        <v>6</v>
      </c>
    </row>
    <row r="140" spans="19:19" x14ac:dyDescent="0.3">
      <c r="S140">
        <f>SUM(T3)</f>
        <v>6</v>
      </c>
    </row>
    <row r="141" spans="19:19" x14ac:dyDescent="0.3">
      <c r="S141">
        <f>SUM(T3)</f>
        <v>6</v>
      </c>
    </row>
  </sheetData>
  <conditionalFormatting sqref="I6:I35">
    <cfRule type="containsText" dxfId="9" priority="22" operator="containsText" text="X">
      <formula>NOT(ISERROR(SEARCH("X",I6)))</formula>
    </cfRule>
    <cfRule type="cellIs" dxfId="8" priority="23" operator="equal">
      <formula>"√"</formula>
    </cfRule>
  </conditionalFormatting>
  <conditionalFormatting sqref="P6:P35">
    <cfRule type="colorScale" priority="34">
      <colorScale>
        <cfvo type="min"/>
        <cfvo type="percentile" val="50"/>
        <cfvo type="max"/>
        <color rgb="FF63BE7B"/>
        <color rgb="FFFFEB84"/>
        <color rgb="FFF8696B"/>
      </colorScale>
    </cfRule>
    <cfRule type="colorScale" priority="35">
      <colorScale>
        <cfvo type="min"/>
        <cfvo type="percentile" val="50"/>
        <cfvo type="max"/>
        <color rgb="FFF8696B"/>
        <color rgb="FFFFEB84"/>
        <color rgb="FF63BE7B"/>
      </colorScale>
    </cfRule>
  </conditionalFormatting>
  <conditionalFormatting sqref="I3">
    <cfRule type="containsText" dxfId="7" priority="9" operator="containsText" text="X">
      <formula>NOT(ISERROR(SEARCH("X",I3)))</formula>
    </cfRule>
    <cfRule type="cellIs" dxfId="6" priority="10" operator="equal">
      <formula>"√"</formula>
    </cfRule>
  </conditionalFormatting>
  <conditionalFormatting sqref="P3">
    <cfRule type="colorScale" priority="11">
      <colorScale>
        <cfvo type="min"/>
        <cfvo type="percentile" val="50"/>
        <cfvo type="max"/>
        <color rgb="FF63BE7B"/>
        <color rgb="FFFFEB84"/>
        <color rgb="FFF8696B"/>
      </colorScale>
    </cfRule>
    <cfRule type="colorScale" priority="12">
      <colorScale>
        <cfvo type="min"/>
        <cfvo type="percentile" val="50"/>
        <cfvo type="max"/>
        <color rgb="FFF8696B"/>
        <color rgb="FFFFEB84"/>
        <color rgb="FF63BE7B"/>
      </colorScale>
    </cfRule>
  </conditionalFormatting>
  <conditionalFormatting sqref="I4">
    <cfRule type="containsText" dxfId="5" priority="5" operator="containsText" text="X">
      <formula>NOT(ISERROR(SEARCH("X",I4)))</formula>
    </cfRule>
    <cfRule type="cellIs" dxfId="4" priority="6" operator="equal">
      <formula>"√"</formula>
    </cfRule>
  </conditionalFormatting>
  <conditionalFormatting sqref="I5">
    <cfRule type="containsText" dxfId="3" priority="1" operator="containsText" text="X">
      <formula>NOT(ISERROR(SEARCH("X",I5)))</formula>
    </cfRule>
    <cfRule type="cellIs" dxfId="2" priority="2" operator="equal">
      <formula>"√"</formula>
    </cfRule>
  </conditionalFormatting>
  <conditionalFormatting sqref="P5">
    <cfRule type="colorScale" priority="3">
      <colorScale>
        <cfvo type="min"/>
        <cfvo type="percentile" val="50"/>
        <cfvo type="max"/>
        <color rgb="FF63BE7B"/>
        <color rgb="FFFFEB84"/>
        <color rgb="FFF8696B"/>
      </colorScale>
    </cfRule>
    <cfRule type="colorScale" priority="4">
      <colorScale>
        <cfvo type="min"/>
        <cfvo type="percentile" val="50"/>
        <cfvo type="max"/>
        <color rgb="FFF8696B"/>
        <color rgb="FFFFEB84"/>
        <color rgb="FF63BE7B"/>
      </colorScale>
    </cfRule>
  </conditionalFormatting>
  <conditionalFormatting sqref="R3:R35">
    <cfRule type="cellIs" dxfId="1" priority="40" operator="equal">
      <formula>$D$49</formula>
    </cfRule>
    <cfRule type="cellIs" dxfId="0" priority="41" operator="equal">
      <formula>$D$48</formula>
    </cfRule>
  </conditionalFormatting>
  <conditionalFormatting sqref="P4">
    <cfRule type="colorScale" priority="44">
      <colorScale>
        <cfvo type="min"/>
        <cfvo type="percentile" val="50"/>
        <cfvo type="max"/>
        <color rgb="FF63BE7B"/>
        <color rgb="FFFFEB84"/>
        <color rgb="FFF8696B"/>
      </colorScale>
    </cfRule>
    <cfRule type="colorScale" priority="45">
      <colorScale>
        <cfvo type="min"/>
        <cfvo type="percentile" val="50"/>
        <cfvo type="max"/>
        <color rgb="FFF8696B"/>
        <color rgb="FFFFEB84"/>
        <color rgb="FF63BE7B"/>
      </colorScale>
    </cfRule>
  </conditionalFormatting>
  <dataValidations count="3">
    <dataValidation type="list" allowBlank="1" showInputMessage="1" showErrorMessage="1" errorTitle="Pick either Y or N" promptTitle="Stock_available_Y_N" sqref="I6:I35" xr:uid="{0B25667A-4371-4144-BFC0-AA566068B6A7}">
      <formula1>$D$48:$D$49</formula1>
    </dataValidation>
    <dataValidation type="list" allowBlank="1" showInputMessage="1" showErrorMessage="1" sqref="R2:R35" xr:uid="{51590C1C-1E1F-4E3F-9835-87E87738B13E}">
      <formula1>$D$48:$D$49</formula1>
    </dataValidation>
    <dataValidation type="list" allowBlank="1" showInputMessage="1" showErrorMessage="1" errorTitle="Pick either Y or N" promptTitle="Stock_available_Y_N" sqref="I3:I5" xr:uid="{56AECBC4-C5DF-4256-9DDE-3CFDD4239BDD}">
      <formula1>$D$62:$D$63</formula1>
    </dataValidation>
  </dataValidations>
  <hyperlinks>
    <hyperlink ref="Q3" r:id="rId1" display="https://uk.farnell.com/multicomp-pro/mcwr06x1002ftl/res-10k-1-0-1w-0603-thick-film/dp/2447230" xr:uid="{8E23AA6C-37DC-4951-9470-6B0F039EF6F3}"/>
    <hyperlink ref="Q4" r:id="rId2" display="https://uk.farnell.com/multicomp-pro/mcwr06x2201ftl/res-2k2-1-0-1w-0603-thick-film/dp/2447320" xr:uid="{5FD8F237-9D5F-48D0-BAB2-2B90D90D5364}"/>
    <hyperlink ref="Q5" r:id="rId3" display="https://uk.farnell.com/multicomp-pro/mcwr06x2002ftl/res-20k-1-0-1w-0603-thick-film/dp/2447293" xr:uid="{9277636C-6955-4C02-813F-25A5DF51C82D}"/>
  </hyperlinks>
  <pageMargins left="0.7" right="0.7" top="0.75" bottom="0.75" header="0.3" footer="0.3"/>
  <pageSetup paperSize="9" scale="56" orientation="landscape" r:id="rId4"/>
  <legacyDrawing r:id="rId5"/>
  <tableParts count="2">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 BOM</vt:lpstr>
      <vt:lpstr>'Final BOM'!Print_Area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BoM template (apprentice)</dc:title>
  <dc:subject/>
  <dc:creator>Zachary Rose</dc:creator>
  <cp:keywords/>
  <dc:description/>
  <cp:lastModifiedBy>Benjamin Bolton</cp:lastModifiedBy>
  <cp:revision/>
  <cp:lastPrinted>2026-02-24T08:09:41Z</cp:lastPrinted>
  <dcterms:created xsi:type="dcterms:W3CDTF">2024-04-18T13:21:44Z</dcterms:created>
  <dcterms:modified xsi:type="dcterms:W3CDTF">2026-04-23T07:32:10Z</dcterms:modified>
  <cp:category/>
  <cp:contentStatus/>
</cp:coreProperties>
</file>