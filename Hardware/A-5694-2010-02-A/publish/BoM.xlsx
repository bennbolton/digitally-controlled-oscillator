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projects\5694\A-5694-2010-02-A\publish\"/>
    </mc:Choice>
  </mc:AlternateContent>
  <xr:revisionPtr revIDLastSave="0" documentId="13_ncr:1_{3A30D58A-E6B1-4B20-B9F1-B8C0AC53A78E}" xr6:coauthVersionLast="47" xr6:coauthVersionMax="47" xr10:uidLastSave="{00000000-0000-0000-0000-000000000000}"/>
  <bookViews>
    <workbookView xWindow="-108" yWindow="-108" windowWidth="23256" windowHeight="13896" xr2:uid="{E744220E-C50D-43BB-8774-1419CA921BE3}"/>
  </bookViews>
  <sheets>
    <sheet name="Final BOM" sheetId="1" r:id="rId1"/>
    <sheet name="Sheet1" sheetId="2" r:id="rId2"/>
  </sheets>
  <definedNames>
    <definedName name="_xlnm.Print_Area" localSheetId="0">'Final BOM'!$D$2:$Q$51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1" l="1"/>
  <c r="N21" i="1"/>
  <c r="P21" i="1" s="1"/>
  <c r="L4" i="1"/>
  <c r="L5" i="1"/>
  <c r="L6" i="1"/>
  <c r="L7" i="1"/>
  <c r="L8" i="1"/>
  <c r="L9" i="1"/>
  <c r="L10" i="1"/>
  <c r="L11" i="1"/>
  <c r="L12" i="1"/>
  <c r="L13" i="1"/>
  <c r="L14" i="1"/>
  <c r="L15" i="1"/>
  <c r="L16" i="1"/>
  <c r="L17" i="1"/>
  <c r="L18" i="1"/>
  <c r="L19" i="1"/>
  <c r="L20" i="1"/>
  <c r="L22" i="1"/>
  <c r="L23" i="1"/>
  <c r="L24" i="1"/>
  <c r="L25" i="1"/>
  <c r="N25" i="1" s="1"/>
  <c r="P25" i="1" s="1"/>
  <c r="L26" i="1"/>
  <c r="L27" i="1"/>
  <c r="L28" i="1"/>
  <c r="L29" i="1"/>
  <c r="L30" i="1"/>
  <c r="L31" i="1"/>
  <c r="L32" i="1"/>
  <c r="L33" i="1"/>
  <c r="L34" i="1"/>
  <c r="L35" i="1"/>
  <c r="L36" i="1"/>
  <c r="L37" i="1"/>
  <c r="L38" i="1"/>
  <c r="L39" i="1"/>
  <c r="N39" i="1" s="1"/>
  <c r="P39" i="1" s="1"/>
  <c r="L40" i="1"/>
  <c r="N40" i="1" s="1"/>
  <c r="O40" i="1" s="1"/>
  <c r="L41" i="1"/>
  <c r="N41" i="1" s="1"/>
  <c r="O41" i="1" s="1"/>
  <c r="P41" i="1" s="1"/>
  <c r="L42" i="1"/>
  <c r="N42" i="1" s="1"/>
  <c r="L43" i="1"/>
  <c r="N43" i="1" s="1"/>
  <c r="P43" i="1" s="1"/>
  <c r="L44" i="1"/>
  <c r="N44" i="1" s="1"/>
  <c r="O44" i="1" s="1" a="1"/>
  <c r="O44" i="1" s="1"/>
  <c r="L45" i="1"/>
  <c r="N45" i="1" s="1"/>
  <c r="L46" i="1"/>
  <c r="N46" i="1" s="1"/>
  <c r="L47" i="1"/>
  <c r="N47" i="1" s="1"/>
  <c r="L48" i="1"/>
  <c r="L49" i="1"/>
  <c r="L50" i="1"/>
  <c r="L3" i="1"/>
  <c r="N50" i="1"/>
  <c r="P50" i="1"/>
  <c r="N49" i="1"/>
  <c r="N7" i="1"/>
  <c r="N48" i="1"/>
  <c r="N34" i="1"/>
  <c r="O34" i="1" s="1" a="1"/>
  <c r="O34" i="1" s="1"/>
  <c r="P34" i="1" s="1"/>
  <c r="P44" i="1" l="1"/>
  <c r="O49" i="1"/>
  <c r="P49" i="1" s="1"/>
  <c r="O7" i="1"/>
  <c r="P7" i="1" s="1"/>
  <c r="O48" i="1" a="1"/>
  <c r="O48" i="1" s="1"/>
  <c r="P48" i="1" s="1"/>
  <c r="O46" i="1" a="1"/>
  <c r="O46" i="1" s="1"/>
  <c r="P46" i="1" s="1"/>
  <c r="O45" i="1"/>
  <c r="P45" i="1" s="1"/>
  <c r="O42" i="1"/>
  <c r="P42" i="1" s="1"/>
  <c r="O47" i="1"/>
  <c r="P47" i="1" s="1"/>
  <c r="P40" i="1"/>
  <c r="N4" i="1"/>
  <c r="N5" i="1"/>
  <c r="O5" i="1" s="1"/>
  <c r="N6" i="1"/>
  <c r="O6" i="1" s="1"/>
  <c r="N8" i="1"/>
  <c r="N9" i="1"/>
  <c r="N10" i="1"/>
  <c r="O10" i="1" s="1"/>
  <c r="N11" i="1"/>
  <c r="N12" i="1"/>
  <c r="N13" i="1"/>
  <c r="N14" i="1"/>
  <c r="N15" i="1"/>
  <c r="N16" i="1"/>
  <c r="N17" i="1"/>
  <c r="N18" i="1"/>
  <c r="N19" i="1"/>
  <c r="P19" i="1" s="1"/>
  <c r="N20" i="1"/>
  <c r="P20" i="1" s="1"/>
  <c r="N22" i="1"/>
  <c r="N23" i="1"/>
  <c r="N24" i="1"/>
  <c r="N26" i="1"/>
  <c r="N27" i="1"/>
  <c r="O27" i="1" s="1"/>
  <c r="N28" i="1"/>
  <c r="N29" i="1"/>
  <c r="N30" i="1"/>
  <c r="N31" i="1"/>
  <c r="N32" i="1"/>
  <c r="N33" i="1"/>
  <c r="N35" i="1"/>
  <c r="N36" i="1"/>
  <c r="O36" i="1" s="1"/>
  <c r="N37" i="1"/>
  <c r="N38" i="1"/>
  <c r="N3" i="1"/>
  <c r="O3" i="1" s="1"/>
  <c r="O4" i="1" l="1"/>
  <c r="P4" i="1" s="1"/>
  <c r="P5" i="1"/>
  <c r="P6" i="1"/>
  <c r="P8" i="1"/>
  <c r="P9" i="1"/>
  <c r="P10" i="1"/>
  <c r="P11" i="1"/>
  <c r="P12" i="1"/>
  <c r="P13" i="1"/>
  <c r="P14" i="1"/>
  <c r="P15" i="1"/>
  <c r="P16" i="1"/>
  <c r="P17" i="1"/>
  <c r="P18" i="1"/>
  <c r="P22" i="1"/>
  <c r="P23" i="1"/>
  <c r="P24" i="1"/>
  <c r="P26" i="1"/>
  <c r="P27" i="1"/>
  <c r="P28" i="1"/>
  <c r="P29" i="1"/>
  <c r="P30" i="1"/>
  <c r="P31" i="1"/>
  <c r="P32" i="1"/>
  <c r="P33" i="1"/>
  <c r="P35" i="1"/>
  <c r="P36" i="1"/>
  <c r="P37" i="1"/>
  <c r="P38" i="1"/>
  <c r="P3"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04" i="1"/>
  <c r="S106" i="1"/>
  <c r="S110" i="1"/>
  <c r="S112" i="1"/>
  <c r="S113" i="1"/>
  <c r="S111" i="1"/>
  <c r="S109" i="1"/>
  <c r="S108" i="1"/>
  <c r="S107" i="1"/>
  <c r="S105" i="1"/>
  <c r="S103" i="1"/>
  <c r="S102" i="1"/>
  <c r="S101" i="1"/>
  <c r="S100" i="1"/>
  <c r="S99" i="1"/>
  <c r="S98" i="1"/>
  <c r="S97" i="1"/>
  <c r="S96" i="1"/>
  <c r="S95" i="1"/>
  <c r="S94" i="1"/>
  <c r="S93" i="1"/>
  <c r="S92" i="1"/>
  <c r="S91" i="1"/>
  <c r="S90" i="1"/>
  <c r="S89" i="1"/>
  <c r="S88" i="1"/>
  <c r="S87" i="1"/>
  <c r="S86" i="1"/>
  <c r="S85" i="1"/>
  <c r="S84" i="1"/>
  <c r="S83" i="1"/>
  <c r="S82" i="1"/>
  <c r="P5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Short</author>
    <author>Zachary Rose</author>
  </authors>
  <commentList>
    <comment ref="A2" authorId="0" shapeId="0" xr:uid="{91DBE765-C6AF-4FCE-9211-94B413C73776}">
      <text>
        <r>
          <rPr>
            <b/>
            <sz val="9"/>
            <color indexed="81"/>
            <rFont val="Tahoma"/>
            <charset val="1"/>
          </rPr>
          <t>Andrew Short:</t>
        </r>
        <r>
          <rPr>
            <sz val="9"/>
            <color indexed="81"/>
            <rFont val="Tahoma"/>
            <charset val="1"/>
          </rPr>
          <t xml:space="preserve">
Eg Resistor, IC, etc.</t>
        </r>
      </text>
    </comment>
    <comment ref="B2" authorId="0" shapeId="0" xr:uid="{905B43E4-A5A7-436F-BF3E-2E91A19018E4}">
      <text>
        <r>
          <rPr>
            <b/>
            <sz val="9"/>
            <color indexed="81"/>
            <rFont val="Tahoma"/>
            <charset val="1"/>
          </rPr>
          <t>Andrew Short:</t>
        </r>
        <r>
          <rPr>
            <sz val="9"/>
            <color indexed="81"/>
            <rFont val="Tahoma"/>
            <charset val="1"/>
          </rPr>
          <t xml:space="preserve">
If applicable, eg Ohms, Farads, etc.</t>
        </r>
      </text>
    </comment>
    <comment ref="D2" authorId="0" shapeId="0" xr:uid="{E1AC6740-F976-47E6-AE23-F3765B8FFBCE}">
      <text>
        <r>
          <rPr>
            <b/>
            <sz val="9"/>
            <color indexed="81"/>
            <rFont val="Tahoma"/>
            <charset val="1"/>
          </rPr>
          <t>Andrew Short:</t>
        </r>
        <r>
          <rPr>
            <sz val="9"/>
            <color indexed="81"/>
            <rFont val="Tahoma"/>
            <charset val="1"/>
          </rPr>
          <t xml:space="preserve">
From the schematic, eg R27, D49, etc.</t>
        </r>
      </text>
    </comment>
    <comment ref="F2" authorId="1" shapeId="0" xr:uid="{D1E8FDDA-DE0A-45C7-828A-7FDE6B44BD86}">
      <text>
        <r>
          <rPr>
            <sz val="11"/>
            <color theme="1"/>
            <rFont val="Calibri"/>
            <family val="2"/>
            <scheme val="minor"/>
          </rPr>
          <t>Zachary Rose:
Manufacturer Part number found on datasheet for component</t>
        </r>
      </text>
    </comment>
    <comment ref="G2" authorId="0" shapeId="0" xr:uid="{F1C0E583-D558-4A05-94B8-A9FA76C0BE8E}">
      <text>
        <r>
          <rPr>
            <b/>
            <sz val="9"/>
            <color indexed="81"/>
            <rFont val="Tahoma"/>
            <charset val="1"/>
          </rPr>
          <t>Andrew Short:</t>
        </r>
        <r>
          <rPr>
            <sz val="9"/>
            <color indexed="81"/>
            <rFont val="Tahoma"/>
            <charset val="1"/>
          </rPr>
          <t xml:space="preserve">
How many parts you will use from department stock (not Woodchester)</t>
        </r>
      </text>
    </comment>
    <comment ref="H2" authorId="0" shapeId="0" xr:uid="{FE8080EE-66B8-4862-BB1F-43569908DC1C}">
      <text>
        <r>
          <rPr>
            <b/>
            <sz val="9"/>
            <color indexed="81"/>
            <rFont val="Tahoma"/>
            <charset val="1"/>
          </rPr>
          <t>Andrew Short:</t>
        </r>
        <r>
          <rPr>
            <sz val="9"/>
            <color indexed="81"/>
            <rFont val="Tahoma"/>
            <charset val="1"/>
          </rPr>
          <t xml:space="preserve">
Where to get, eg Farnell, Woodchester, etc.</t>
        </r>
      </text>
    </comment>
    <comment ref="I2" authorId="0" shapeId="0" xr:uid="{E02F6917-1494-4D61-84C6-FF62555E06E9}">
      <text>
        <r>
          <rPr>
            <b/>
            <sz val="9"/>
            <color indexed="81"/>
            <rFont val="Tahoma"/>
            <family val="2"/>
          </rPr>
          <t>Andrew Short:</t>
        </r>
        <r>
          <rPr>
            <sz val="9"/>
            <color indexed="81"/>
            <rFont val="Tahoma"/>
            <family val="2"/>
          </rPr>
          <t xml:space="preserve">
Tick to show parts are currently available.</t>
        </r>
      </text>
    </comment>
    <comment ref="J2" authorId="1" shapeId="0" xr:uid="{58E48922-4B18-41CE-91FD-989C29149B54}">
      <text>
        <r>
          <rPr>
            <sz val="11"/>
            <color theme="1"/>
            <rFont val="Calibri"/>
            <family val="2"/>
            <scheme val="minor"/>
          </rPr>
          <t>Zachary Rose:
Part number found on supplier link; individual to each supplier even for same part.</t>
        </r>
      </text>
    </comment>
    <comment ref="K2" authorId="1" shapeId="0" xr:uid="{3489F4D1-4798-4868-931B-AEE1CF74B220}">
      <text>
        <r>
          <rPr>
            <sz val="11"/>
            <color theme="1"/>
            <rFont val="Calibri"/>
            <family val="2"/>
            <scheme val="minor"/>
          </rPr>
          <t>Zachary Rose:
Quantity of components needed per board</t>
        </r>
      </text>
    </comment>
    <comment ref="L2" authorId="0" shapeId="0" xr:uid="{C0D39D1D-7856-4BFF-B920-A0F3DF1E386A}">
      <text>
        <r>
          <rPr>
            <sz val="11"/>
            <color theme="1"/>
            <rFont val="Calibri"/>
            <family val="2"/>
            <scheme val="minor"/>
          </rPr>
          <t>Andrew Short:
Based on number of boards x Number of units per board + some spares minus number in stock internally.</t>
        </r>
      </text>
    </comment>
    <comment ref="M2" authorId="1" shapeId="0" xr:uid="{01CC39B8-5F64-4EAF-80FB-3BC6BB387534}">
      <text>
        <r>
          <rPr>
            <sz val="11"/>
            <color theme="1"/>
            <rFont val="Calibri"/>
            <family val="2"/>
            <scheme val="minor"/>
          </rPr>
          <t>Zachary Rose:
Minimum order quantity quoted by supplier for each component</t>
        </r>
      </text>
    </comment>
    <comment ref="N2" authorId="1" shapeId="0" xr:uid="{01D5A340-3080-45CD-A676-E6DC8F2CEB08}">
      <text>
        <r>
          <rPr>
            <sz val="11"/>
            <color theme="1"/>
            <rFont val="Calibri"/>
            <family val="2"/>
            <scheme val="minor"/>
          </rPr>
          <t>Zachary Rose:
The final/total order quantity with respect to the MOQ or multiple from the supplier.
If you need 26 resistors and the MOQ is 10 and the multiple is 10. Then you will have to order 30.</t>
        </r>
      </text>
    </comment>
    <comment ref="O2" authorId="0" shapeId="0" xr:uid="{D5F1D6BD-4D35-4194-B28D-07AB6E526611}">
      <text>
        <r>
          <rPr>
            <b/>
            <sz val="9"/>
            <color indexed="81"/>
            <rFont val="Tahoma"/>
            <charset val="1"/>
          </rPr>
          <t>Andrew Short:</t>
        </r>
        <r>
          <rPr>
            <sz val="9"/>
            <color indexed="81"/>
            <rFont val="Tahoma"/>
            <charset val="1"/>
          </rPr>
          <t xml:space="preserve">
The purchase price of each unit to be bought.</t>
        </r>
      </text>
    </comment>
    <comment ref="P2" authorId="1" shapeId="0" xr:uid="{93DF30D0-8041-4C3D-9765-BB7D6D92B969}">
      <text>
        <r>
          <rPr>
            <sz val="11"/>
            <color theme="1"/>
            <rFont val="Calibri"/>
            <family val="2"/>
            <scheme val="minor"/>
          </rPr>
          <t>Zachary Rose:
Price/unit * order quantity in £</t>
        </r>
      </text>
    </comment>
    <comment ref="Q2" authorId="0" shapeId="0" xr:uid="{5C122981-E978-4EFE-8F5F-1BF403A51A98}">
      <text>
        <r>
          <rPr>
            <sz val="11"/>
            <color theme="1"/>
            <rFont val="Calibri"/>
            <family val="2"/>
            <scheme val="minor"/>
          </rPr>
          <t>Zachary Rose:  Supplier Web link 
-needs to be checked as old parts will have incorrect links due to duplicated supplier number when parts are phased out.</t>
        </r>
      </text>
    </comment>
    <comment ref="R2" authorId="1" shapeId="0" xr:uid="{9A9990C6-2F81-47EA-AE61-8CEDCF90E60D}">
      <text>
        <r>
          <rPr>
            <sz val="11"/>
            <color theme="1"/>
            <rFont val="Calibri"/>
            <family val="2"/>
            <scheme val="minor"/>
          </rPr>
          <t>Zachary Rose:
For Andy or someone responsible to tick when they are happy with all the information you have provided.</t>
        </r>
      </text>
    </comment>
    <comment ref="T2" authorId="1" shapeId="0" xr:uid="{13A19C89-11D7-4209-AD99-E2F597E498BB}">
      <text>
        <r>
          <rPr>
            <sz val="11"/>
            <color theme="1"/>
            <rFont val="Calibri"/>
            <family val="2"/>
            <scheme val="minor"/>
          </rPr>
          <t>Zachary Rose:
Self-explanatory: Enter how many boards you need to assemble and build.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Short</author>
    <author>Zachary Rose</author>
  </authors>
  <commentList>
    <comment ref="B4" authorId="0" shapeId="0" xr:uid="{42B44633-D035-4CA9-B31E-BC140D1A6E56}">
      <text>
        <r>
          <rPr>
            <b/>
            <sz val="9"/>
            <color indexed="81"/>
            <rFont val="Tahoma"/>
            <charset val="1"/>
          </rPr>
          <t>Andrew Short:</t>
        </r>
        <r>
          <rPr>
            <sz val="9"/>
            <color indexed="81"/>
            <rFont val="Tahoma"/>
            <charset val="1"/>
          </rPr>
          <t xml:space="preserve">
Eg Resistor, IC, etc.</t>
        </r>
      </text>
    </comment>
    <comment ref="C4" authorId="0" shapeId="0" xr:uid="{B0995C7E-DF1D-4307-9853-F1B86E2598BE}">
      <text>
        <r>
          <rPr>
            <b/>
            <sz val="9"/>
            <color indexed="81"/>
            <rFont val="Tahoma"/>
            <charset val="1"/>
          </rPr>
          <t>Andrew Short:</t>
        </r>
        <r>
          <rPr>
            <sz val="9"/>
            <color indexed="81"/>
            <rFont val="Tahoma"/>
            <charset val="1"/>
          </rPr>
          <t xml:space="preserve">
If applicable, eg Ohms, Farads, etc.</t>
        </r>
      </text>
    </comment>
    <comment ref="E4" authorId="0" shapeId="0" xr:uid="{2493BD41-F2CA-4A16-A927-EE3A5F8D9381}">
      <text>
        <r>
          <rPr>
            <b/>
            <sz val="9"/>
            <color indexed="81"/>
            <rFont val="Tahoma"/>
            <charset val="1"/>
          </rPr>
          <t>Andrew Short:</t>
        </r>
        <r>
          <rPr>
            <sz val="9"/>
            <color indexed="81"/>
            <rFont val="Tahoma"/>
            <charset val="1"/>
          </rPr>
          <t xml:space="preserve">
From the schematic, eg R27, D49, etc.</t>
        </r>
      </text>
    </comment>
    <comment ref="F4" authorId="1" shapeId="0" xr:uid="{33E13355-9753-4717-B42A-9B256A427071}">
      <text>
        <r>
          <rPr>
            <sz val="11"/>
            <color theme="1"/>
            <rFont val="Calibri"/>
            <family val="2"/>
            <scheme val="minor"/>
          </rPr>
          <t>Zachary Rose:
Quantity of components needed per board</t>
        </r>
      </text>
    </comment>
    <comment ref="G4" authorId="1" shapeId="0" xr:uid="{23F135EC-F673-4202-80B7-0CB3129EDC29}">
      <text>
        <r>
          <rPr>
            <sz val="11"/>
            <color theme="1"/>
            <rFont val="Calibri"/>
            <family val="2"/>
            <scheme val="minor"/>
          </rPr>
          <t>Zachary Rose:
Manufacturer Part number found on datasheet for component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<sst xmlns="http://schemas.openxmlformats.org/spreadsheetml/2006/main" count="645" uniqueCount="254">
  <si>
    <t>Component Type</t>
  </si>
  <si>
    <t>Value</t>
  </si>
  <si>
    <t>Reference Designators</t>
  </si>
  <si>
    <t>Manufacturer</t>
  </si>
  <si>
    <t>Man. Part Number</t>
  </si>
  <si>
    <t>Dept. stock</t>
  </si>
  <si>
    <t>Supplier</t>
  </si>
  <si>
    <t>Stock Available</t>
  </si>
  <si>
    <t>Supplier Part no.</t>
  </si>
  <si>
    <t>Board Quantity</t>
  </si>
  <si>
    <t>Order Quantity</t>
  </si>
  <si>
    <t>MOQ</t>
  </si>
  <si>
    <t>Final Order Quantity</t>
  </si>
  <si>
    <t>Price/unit</t>
  </si>
  <si>
    <t>Total Cost</t>
  </si>
  <si>
    <t>Supplier Link</t>
  </si>
  <si>
    <t>ED/Andy Approved</t>
  </si>
  <si>
    <t>Enter number of boards in Cell below:</t>
  </si>
  <si>
    <t>√</t>
  </si>
  <si>
    <t>Order Cost</t>
  </si>
  <si>
    <t>Stock available</t>
  </si>
  <si>
    <t>X</t>
  </si>
  <si>
    <t xml:space="preserve">Extend if you have more different components than this list is long. And even so you should not have more than 75 different components for simple boards </t>
  </si>
  <si>
    <t>Board Number</t>
  </si>
  <si>
    <t>Connector</t>
  </si>
  <si>
    <t>SK1;SK2;SK3</t>
  </si>
  <si>
    <t>SK4</t>
  </si>
  <si>
    <t>Farnell</t>
  </si>
  <si>
    <t>FC68125</t>
  </si>
  <si>
    <t>CLIFF</t>
  </si>
  <si>
    <t>5227161-3</t>
  </si>
  <si>
    <t>TE-CONNECTIVITY</t>
  </si>
  <si>
    <t>FC68125 CLIFF ELECTRONIC COMPONENTS, Phone Audio Connector, 4 Contacts, Socket | Farnell® UK</t>
  </si>
  <si>
    <t>RS Components</t>
  </si>
  <si>
    <t>710-0466</t>
  </si>
  <si>
    <t>TDK</t>
  </si>
  <si>
    <t>AVX</t>
  </si>
  <si>
    <t>AVAGO</t>
  </si>
  <si>
    <t>HSMF-A201-A00J1</t>
  </si>
  <si>
    <t>MULTICOMP PRO</t>
  </si>
  <si>
    <t>BOURNS</t>
  </si>
  <si>
    <t>MCWR06X4302FTL</t>
  </si>
  <si>
    <t>MCWR06X3902FTL</t>
  </si>
  <si>
    <t>MCWR06X3602FTL</t>
  </si>
  <si>
    <t>MCWR06X2202FTL</t>
  </si>
  <si>
    <t>MCWR06X1503FTL</t>
  </si>
  <si>
    <t>MCWR06X1003FTL</t>
  </si>
  <si>
    <t>MCWR06X2201FTL</t>
  </si>
  <si>
    <t>MCWR06X1004FTL</t>
  </si>
  <si>
    <t>MCWR06X4300FTL</t>
  </si>
  <si>
    <t>STMICROELECTRONICS</t>
  </si>
  <si>
    <t>KOA</t>
  </si>
  <si>
    <t>RK73Z1JTTD</t>
  </si>
  <si>
    <t>PTV09A-4020F-B104</t>
  </si>
  <si>
    <t>ONSEMI</t>
  </si>
  <si>
    <t>MMBFJ108</t>
  </si>
  <si>
    <t>RENESAS</t>
  </si>
  <si>
    <t>DG408DYZ</t>
  </si>
  <si>
    <t>TEXAS INSTRUMENTS</t>
  </si>
  <si>
    <t>MURATA</t>
  </si>
  <si>
    <t>GRM31CR60J107MEA8K</t>
  </si>
  <si>
    <t>AMPHENOL</t>
  </si>
  <si>
    <t>MCWR06X4701FTL</t>
  </si>
  <si>
    <t xml:space="preserve">CON JACK SKT 4W 3.5mm RA PC                                 </t>
  </si>
  <si>
    <t xml:space="preserve">Con BNC Skt 50ohm RA                                        </t>
  </si>
  <si>
    <t>5227161-3 | TE Connectivity BNC Series PCB Female BNC, 50 Ω, Right Angle Body Solder | RS</t>
  </si>
  <si>
    <t xml:space="preserve">Con Rect 10 Skt 2 Row TH                                    </t>
  </si>
  <si>
    <t>SK5;SK6;SK7;SK8</t>
  </si>
  <si>
    <t>2214S-10SG-85 MULTICOMP PRO, PCB Receptacle, Board-to-Board, 2.54 mm | Farnell® UK</t>
  </si>
  <si>
    <t xml:space="preserve">Terminal Block 2W 2.54mm Skt RA PCB                         </t>
  </si>
  <si>
    <t>SK10</t>
  </si>
  <si>
    <t>282834-2 TE CONNECTIVITY - BUCHANAN, Wire-To-Board Terminal Block, 2.54 mm, 2 Ways | Farnell® UK</t>
  </si>
  <si>
    <t>Resistor</t>
  </si>
  <si>
    <t>R2;R6</t>
  </si>
  <si>
    <t xml:space="preserve">Res 430R 1% 50V 100ppm 0.1W                                 </t>
  </si>
  <si>
    <t>R15;R16;R17;R43;R44</t>
  </si>
  <si>
    <t>MCWR06X4300FTL MULTICOMP PRO, SMD Chip Resistor, 430 ohm, ± 1% | Farnell® UK</t>
  </si>
  <si>
    <t xml:space="preserve">Res 10K0 1% 50V 100ppm 0.1W                                 </t>
  </si>
  <si>
    <t xml:space="preserve">Res 1M00 1% 50V 100ppm 0.1W                                 </t>
  </si>
  <si>
    <t>R10</t>
  </si>
  <si>
    <t>MCWR06X1004FTL MULTICOMP PRO, SMD Chip Resistor, 1 Mohm, ± 1% | Farnell® UK</t>
  </si>
  <si>
    <t xml:space="preserve">Res 2K2 1% 50V 100ppm 0.1W                                  </t>
  </si>
  <si>
    <t>R25;R26;R27;R28;R29;R42</t>
  </si>
  <si>
    <t>MCWR06X2201FTL MULTICOMP PRO, SMD Chip Resistor, 2.2 kohm, ± 1% | Farnell® UK</t>
  </si>
  <si>
    <t xml:space="preserve">Res 4K7 1% 50V 100ppm 0.1W                                  </t>
  </si>
  <si>
    <t>R4</t>
  </si>
  <si>
    <t>MCWR06X4701FTL MULTICOMP PRO, SMD Chip Resistor, 4.7 kohm, ± 1% | Farnell® UK</t>
  </si>
  <si>
    <t xml:space="preserve">Res 100K 1% 50V 100ppm 0.1W                                 </t>
  </si>
  <si>
    <t>R7</t>
  </si>
  <si>
    <t>MCWR06X1003FTL MULTICOMP PRO, SMD Chip Resistor, 100 kohm, ± 1% | Farnell® UK</t>
  </si>
  <si>
    <t xml:space="preserve">Res 150K 1% 50V 100ppm 0.1W                                 </t>
  </si>
  <si>
    <t>R19</t>
  </si>
  <si>
    <t>MCWR06X1503FTL MULTICOMP PRO, SMD Chip Resistor, 150 kohm, ± 1% | Farnell® UK</t>
  </si>
  <si>
    <t xml:space="preserve">Res 22K0 1% 50V 100ppm 0.1W                                 </t>
  </si>
  <si>
    <t>MCWR06X2202FTL MULTICOMP PRO, SMD Chip Resistor, 22 kohm, ± 1% | Farnell® UK</t>
  </si>
  <si>
    <t xml:space="preserve">Res 36K0 1% 50V 100ppm 0.1W                                 </t>
  </si>
  <si>
    <t>R5;R13</t>
  </si>
  <si>
    <t>MCWR06X3602FTL MULTICOMP PRO, SMD Chip Resistor, 36 kohm, ± 1% | Farnell® UK</t>
  </si>
  <si>
    <t xml:space="preserve">Res 43K0 1% 50V 100ppm 0.1W                                 </t>
  </si>
  <si>
    <t>R11</t>
  </si>
  <si>
    <t>MCWR06X4302FTL MULTICOMP PRO, SMD Chip Resistor, 43 kohm, ± 1% | Farnell® UK</t>
  </si>
  <si>
    <t xml:space="preserve">Res 1K 1% 50V 100ppm 0.1W                                   </t>
  </si>
  <si>
    <t>R37</t>
  </si>
  <si>
    <t>MCWR06X1001FTL</t>
  </si>
  <si>
    <t>MCWR06X1001FTL MULTICOMP PRO, SMD Chip Resistor, 1 kohm, ± 1% | Farnell® UK</t>
  </si>
  <si>
    <t>MCWR06X4702FTL</t>
  </si>
  <si>
    <t>MCWR06X4702FTL MULTICOMP PRO, SMD Chip Resistor, 47 kohm, ± 1% | Farnell® UK</t>
  </si>
  <si>
    <t xml:space="preserve">Res 47K0 1% 50V 100ppm 0.1W                                 </t>
  </si>
  <si>
    <t>R40;R41</t>
  </si>
  <si>
    <t>R1</t>
  </si>
  <si>
    <t xml:space="preserve">Res 120R 1% 50V 100ppm 0.1W                                 </t>
  </si>
  <si>
    <t>R38;R39</t>
  </si>
  <si>
    <t>MCWR06X1200FTL</t>
  </si>
  <si>
    <t>MCWR06X1200FTL MULTICOMP PRO, SMD Chip Resistor, 120 ohm, ± 1% | Farnell® UK</t>
  </si>
  <si>
    <t xml:space="preserve">Res 20K0 1% 50V 100ppm 0.1W                                 </t>
  </si>
  <si>
    <t>R12</t>
  </si>
  <si>
    <t>MCWR06X2002FTL</t>
  </si>
  <si>
    <t>MCWR06X2002FTL MULTICOMP PRO, SMD Chip Resistor, 20 kohm, ± 1% | Farnell® UK</t>
  </si>
  <si>
    <t xml:space="preserve">Res 39K0 1% 50V 100ppm 0.1W                                 </t>
  </si>
  <si>
    <t>R8</t>
  </si>
  <si>
    <t>MCWR06X3902FTL MULTICOMP PRO, SMD Chip Resistor, 39 kohm, ± 1% | Farnell® UK</t>
  </si>
  <si>
    <t>2214S-10SG-85</t>
  </si>
  <si>
    <t>282834-2</t>
  </si>
  <si>
    <t>MCWR06X1002FTL</t>
  </si>
  <si>
    <t>MCWR06X1002FTL MULTICOMP PRO, SMD Chip Resistor, 10 kohm, ± 1% | Farnell® UK</t>
  </si>
  <si>
    <t>Capacitor</t>
  </si>
  <si>
    <t xml:space="preserve">Cap X7R 10nF 10% 50V                                        </t>
  </si>
  <si>
    <t>C18;C19;C20</t>
  </si>
  <si>
    <t xml:space="preserve">Cap X7R 100nF 10% 50V                                       </t>
  </si>
  <si>
    <t xml:space="preserve">CAP X7R 1uF 10% 25V                                         </t>
  </si>
  <si>
    <t>CL10B105KA8NNNC</t>
  </si>
  <si>
    <t>CL10B105KA8NNNC SAMSUNG ELECTRO-MECHANICS, SMD Multilayer Ceramic Capacitor, 1 µF, 25 V | Farnell® UK</t>
  </si>
  <si>
    <t xml:space="preserve">Cap X5R 22uF 20% 25V                                        </t>
  </si>
  <si>
    <t>C44;C45;C46;C48;C49;C50</t>
  </si>
  <si>
    <t>CL21A226MAYNNNE</t>
  </si>
  <si>
    <t>CL21A226MAYNNNE SAMSUNG ELECTRO-MECHANICS, SMD Multilayer Ceramic Capacitor, 22 µF, 25 V | Farnell® UK</t>
  </si>
  <si>
    <t>Package</t>
  </si>
  <si>
    <t>C0805</t>
  </si>
  <si>
    <t>C0603</t>
  </si>
  <si>
    <t>R0603</t>
  </si>
  <si>
    <t xml:space="preserve">Cap C0G 100nF 5% 50V                                        </t>
  </si>
  <si>
    <t>C1206</t>
  </si>
  <si>
    <t>C1;C2;C3</t>
  </si>
  <si>
    <t>GRM31C5C1H104JA01L</t>
  </si>
  <si>
    <t>GRM31C5C1H104JA01L MURATA, SMD Multilayer Ceramic Capacitor, 0.1 µF, 50 V | Farnell® UK</t>
  </si>
  <si>
    <t xml:space="preserve">CAP C0G 10nF 5% 50V                                         </t>
  </si>
  <si>
    <t>C4;C5;C7</t>
  </si>
  <si>
    <t>GRM1885C1H103JA01D</t>
  </si>
  <si>
    <t>GRM1885C1H103JA01D MURATA, SMD Multilayer Ceramic Capacitor, 0.01 µF, 50 V | Farnell® UK</t>
  </si>
  <si>
    <t xml:space="preserve">CAP X5R 100uF 20% 6.3V                                      </t>
  </si>
  <si>
    <t>C8</t>
  </si>
  <si>
    <t>GRM31CR60J107MEA8K MURATA, SMD Multilayer Ceramic Capacitor, 100 µF, 6.3 V | Farnell® UK</t>
  </si>
  <si>
    <t>C12;C13;C14;C15;C16;C17</t>
  </si>
  <si>
    <t xml:space="preserve">Cap C0G 22pF 5% 50V                                         </t>
  </si>
  <si>
    <t>C6;C9</t>
  </si>
  <si>
    <t>MC0603N220J500CT</t>
  </si>
  <si>
    <t>MC0603N220J500CT MULTICOMP PRO, SMD Multilayer Ceramic Capacitor, 22 pF, 50 V | Farnell® UK</t>
  </si>
  <si>
    <t>CL10B104KB8NNNL</t>
  </si>
  <si>
    <t>CL10B104KB8NNNL SAMSUNG ELECTRO-MECHANICS, SMD Multilayer Ceramic Capacitor, 0.1 µF, 50 V | Farnell® UK</t>
  </si>
  <si>
    <t>Diode</t>
  </si>
  <si>
    <t xml:space="preserve">Diode 1A 600V                                               </t>
  </si>
  <si>
    <t>D10</t>
  </si>
  <si>
    <t>S1J-E3/61T</t>
  </si>
  <si>
    <t>S1J-E3/61T VISHAY, Standard Recovery Diode, 600 V, 1 A | Farnell® UK</t>
  </si>
  <si>
    <t xml:space="preserve">Diode 5A 40V Schottky                                       </t>
  </si>
  <si>
    <t>SMA</t>
  </si>
  <si>
    <t>SMC</t>
  </si>
  <si>
    <t>D14</t>
  </si>
  <si>
    <t>SSC54-E3/57T</t>
  </si>
  <si>
    <t>SSC54-E3/57T VISHAY, Schottky Rectifier, 40 V, 5 A | Farnell® UK</t>
  </si>
  <si>
    <t xml:space="preserve">DIODE BARRIER 0.2A 30V SCHOTTKY                             </t>
  </si>
  <si>
    <t>SOT-23</t>
  </si>
  <si>
    <t>D1;D6;D7;D8;D9;D13</t>
  </si>
  <si>
    <t>BAT54S,215</t>
  </si>
  <si>
    <t>BAT54S,215 NEXPERIA, Small Signal Schottky Diode, Dual Series, 30 V | Farnell® UK</t>
  </si>
  <si>
    <t xml:space="preserve">LED RD/GN 16mcd@20mA 120 Deg Str                            </t>
  </si>
  <si>
    <t>D2;D3;D4;D5;D12</t>
  </si>
  <si>
    <t>HSMF-A201-A00J1 BROADCOM, LED, PLCC-4, Red | Farnell® UK</t>
  </si>
  <si>
    <t xml:space="preserve">CAP ALU 47uF 63V 20%                                        </t>
  </si>
  <si>
    <t>rad 2m5</t>
  </si>
  <si>
    <t>C64</t>
  </si>
  <si>
    <t>EEUFR1J470</t>
  </si>
  <si>
    <t>EEUFR1J470 PANASONIC, Electrolytic Capacitor, 47 µF, 63 V | Farnell® UK</t>
  </si>
  <si>
    <t>Transistor</t>
  </si>
  <si>
    <t xml:space="preserve">Trans NJ FET 25V 80mA SST108                                </t>
  </si>
  <si>
    <t>TR1</t>
  </si>
  <si>
    <t>MMBFJ108 ONSEMI, JFET Transistor, JFET, -25 V | Farnell® UK</t>
  </si>
  <si>
    <t>IC</t>
  </si>
  <si>
    <t>Switch</t>
  </si>
  <si>
    <t xml:space="preserve">Switch Slide SPDT R/A 120V 3A                               </t>
  </si>
  <si>
    <t>SW1</t>
  </si>
  <si>
    <t>500ASSP1SM6QE.</t>
  </si>
  <si>
    <t>500ASSP1SM6QE. E-SWITCH, SLIDE SWITCH, SPDT, 3A | Farnell® UK</t>
  </si>
  <si>
    <t xml:space="preserve">IC Switch Analgue Quad SPST                                 </t>
  </si>
  <si>
    <t>SO-16</t>
  </si>
  <si>
    <t>IC1</t>
  </si>
  <si>
    <t xml:space="preserve">IC Amp Op 082                                               </t>
  </si>
  <si>
    <t>SO-8</t>
  </si>
  <si>
    <t>IC2;IC3;IC4;IC5;IC6;IC7</t>
  </si>
  <si>
    <t>TL082ACDR</t>
  </si>
  <si>
    <t>TL082ACDR TEXAS INSTRUMENTS, Operational Amplifier, 2 Channels, 3 MHz | Farnell® UK</t>
  </si>
  <si>
    <t xml:space="preserve">IC Switch Multiplexer 8 Ch 5-34V                            </t>
  </si>
  <si>
    <t>IC8</t>
  </si>
  <si>
    <t>DG408DYZ RENESAS, Analogue Multiplexer, 8:1, 8 Channels | Farnell® UK</t>
  </si>
  <si>
    <t>IC DC/DC Conv 16-36V I/P 12V O/P 1A</t>
  </si>
  <si>
    <t>THT</t>
  </si>
  <si>
    <t>IC9;IC10</t>
  </si>
  <si>
    <t>IC11</t>
  </si>
  <si>
    <t>IC DC/DC Conv 8-36V I/P 5V O/P 1A</t>
  </si>
  <si>
    <t xml:space="preserve">Digital Pot 1024 Psn 20K 1%                                 </t>
  </si>
  <si>
    <t>SSOP-14</t>
  </si>
  <si>
    <t>RV2</t>
  </si>
  <si>
    <t>AD5293BRUZ-20-RL7</t>
  </si>
  <si>
    <t>AD5293BRUZ-20-RL7 ANALOG DEVICES, DIGITAL POTENTIOMETER, SINGLE, TSSOP | Farnell® UK</t>
  </si>
  <si>
    <t xml:space="preserve">Digital Pot 1024 Psn 100K 1%                                </t>
  </si>
  <si>
    <t>RV3;RV4;RV5;RV6</t>
  </si>
  <si>
    <t>AD5293BRUZ-100-RL7</t>
  </si>
  <si>
    <t>AD5293BRUZ-100-RL7 ANALOG DEVICES, DIGITAL POTENTIOMETER, SINGLE, TSSOP | Farnell® UK</t>
  </si>
  <si>
    <t>Potentiometer</t>
  </si>
  <si>
    <t xml:space="preserve">Res Trim 100K 20% 20V 0.05W                                 </t>
  </si>
  <si>
    <t>RV1</t>
  </si>
  <si>
    <t>PTV09A-4020F-B104 BOURNS, Rotary Potentiometer, 9 mm, Carbon | Farnell® UK</t>
  </si>
  <si>
    <t xml:space="preserve">Con Skt DC Power Con 5A 2.5 mm                              </t>
  </si>
  <si>
    <t>SK9</t>
  </si>
  <si>
    <t>FC681465P</t>
  </si>
  <si>
    <t>FC681465P CLIFF ELECTRONIC COMPONENTS, DC Power Connector, Socket, 5 A | Farnell® UK</t>
  </si>
  <si>
    <t>Encoder</t>
  </si>
  <si>
    <t xml:space="preserve">IC Rotary Encoder Incremental 5V                            </t>
  </si>
  <si>
    <t>TR2</t>
  </si>
  <si>
    <t>PEC11R-4225F-S0024</t>
  </si>
  <si>
    <t>PEC11R-4225F-S0024 BOURNS, Rotary Encoder, Mechanical, Incremental | Farnell® UK</t>
  </si>
  <si>
    <t xml:space="preserve">Res 0R00 1A 50V 0.1W                                        </t>
  </si>
  <si>
    <t>R20;R22;R23;R24</t>
  </si>
  <si>
    <t>RK73Z1JTTD KOA, Zero Ohm Resistor, Jumper, 0603 [1608 Metric] | Farnell® UK</t>
  </si>
  <si>
    <t>173010535 WURTH ELEKTRONIK, DC/DC Converter, Industrial, 1 Output | Farnell® UK</t>
  </si>
  <si>
    <t>DG412DY+</t>
  </si>
  <si>
    <t>DG412DY+ ANALOG DEVICES, ANALOGUE SWITCH, QUAD, NSOIC-16 | Farnell® UK</t>
  </si>
  <si>
    <t>C0603C103K5RACAUTO</t>
  </si>
  <si>
    <t>C0603C103K5RACAUTO KEMET, SMD Multilayer Ceramic Capacitor, AEC-Q200, 0.01 µF | Farnell® UK</t>
  </si>
  <si>
    <t>C10;C11;C21;C22;C23;C24;C25;C26;C27;C31;C32;C33;C34;C35;C36;C37;C38;C39;C40;C41;C42;C43;C47;C51;C52;C53;C54;C55;C56;C57;C58;C59;C60;C61;C62;C63</t>
  </si>
  <si>
    <t xml:space="preserve">Res 4K30 1% 50V 100ppm 0.1W                                 </t>
  </si>
  <si>
    <t xml:space="preserve">Res 1K2 1% 50V 100ppm 0.1W                                  </t>
  </si>
  <si>
    <t>R18;R21</t>
  </si>
  <si>
    <t>R3;R9;R14;R30;R31;R32;R33;R34;R35;R36;R45;R46;R47</t>
  </si>
  <si>
    <t>CON JACK SKT 4W 3.5mm RA PC</t>
  </si>
  <si>
    <t>Con BNC Skt 50ohm RA</t>
  </si>
  <si>
    <t>Con Rect 10 Skt 2 Row TH</t>
  </si>
  <si>
    <t>Terminal Block 2W 2.54mm Skt RA PCB</t>
  </si>
  <si>
    <t>Con Skt DC Power Con 5A 2.5 mm</t>
  </si>
  <si>
    <t>Res 1K2 1% 50V 100ppm 0.1W</t>
  </si>
  <si>
    <t>Switch Slide SPDT R/A 120V 3A</t>
  </si>
  <si>
    <t>Res Trim 100K 20% 20V 0.05W</t>
  </si>
  <si>
    <t>IC Rotary Encoder Incremental 5V</t>
  </si>
  <si>
    <t>LED RD/GN 16mcd@20mA 120 Deg Str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</si>
</sst>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0.0000"/>
  </numFmts>
  <fonts count="29"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sz val="11"/>
      <color theme="1"/>
      <name val="Calibri"/>
      <family val="2"/>
      <scheme val="minor"/>
    </font>
    <font>
      <b/>
      <sz val="11"/>
      <color rgb="FF3F3F3F"/>
      <name val="Calibri"/>
      <scheme val="minor"/>
    </font>
    <font>
      <b/>
      <sz val="14"/>
      <color theme="1"/>
      <name val="Calibri"/>
      <family val="2"/>
      <scheme val="minor"/>
    </font>
    <font>
      <b/>
      <sz val="11"/>
      <color rgb="FF9C5700"/>
      <name val="Calibri"/>
      <family val="2"/>
      <scheme val="minor"/>
    </font>
    <font>
      <sz val="9"/>
      <color theme="1"/>
      <name val="Calibri"/>
      <family val="2"/>
      <scheme val="minor"/>
    </font>
    <font>
      <b/>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rgb="FF3F3F3F"/>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2F2F2"/>
      </patternFill>
    </fill>
    <fill>
      <patternFill patternType="solid">
        <fgColor rgb="FFFFFF00"/>
        <bgColor indexed="64"/>
      </patternFill>
    </fill>
    <fill>
      <patternFill patternType="solid">
        <fgColor rgb="FFFFCC99"/>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4">
    <xf numFmtId="0" fontId="0"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10" fillId="5" borderId="11" applyNumberFormat="0" applyFont="0" applyAlignment="0" applyProtection="0"/>
    <xf numFmtId="0" fontId="11" fillId="6" borderId="12" applyNumberFormat="0" applyAlignment="0" applyProtection="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1" applyNumberFormat="0" applyAlignment="0" applyProtection="0"/>
    <xf numFmtId="0" fontId="21" fillId="6" borderId="1" applyNumberFormat="0" applyAlignment="0" applyProtection="0"/>
    <xf numFmtId="0" fontId="22" fillId="0" borderId="19" applyNumberFormat="0" applyFill="0" applyAlignment="0" applyProtection="0"/>
    <xf numFmtId="0" fontId="23" fillId="9" borderId="20"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1" fillId="0" borderId="21" applyNumberFormat="0" applyFill="0" applyAlignment="0" applyProtection="0"/>
    <xf numFmtId="0" fontId="26"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26"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26"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26"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26"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26"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27" fillId="6" borderId="12" applyNumberFormat="0" applyAlignment="0" applyProtection="0"/>
  </cellStyleXfs>
  <cellXfs count="37">
    <xf numFmtId="0" fontId="0" fillId="0" borderId="0" xfId="0"/>
    <xf numFmtId="0" fontId="1" fillId="0" borderId="0" xfId="0" applyFont="1"/>
    <xf numFmtId="0" fontId="0" fillId="0" borderId="2" xfId="0" quotePrefix="1" applyBorder="1"/>
    <xf numFmtId="0" fontId="0" fillId="0" borderId="2" xfId="0" applyBorder="1"/>
    <xf numFmtId="0" fontId="8" fillId="4" borderId="1" xfId="3" applyBorder="1"/>
    <xf numFmtId="0" fontId="7" fillId="3" borderId="0" xfId="2"/>
    <xf numFmtId="0" fontId="6" fillId="2" borderId="0" xfId="1"/>
    <xf numFmtId="0" fontId="0" fillId="0" borderId="3" xfId="0" applyBorder="1"/>
    <xf numFmtId="0" fontId="0" fillId="0" borderId="4" xfId="0" applyBorder="1"/>
    <xf numFmtId="0" fontId="1" fillId="0" borderId="2" xfId="0" applyFont="1" applyBorder="1"/>
    <xf numFmtId="0" fontId="0" fillId="0" borderId="5" xfId="0" applyBorder="1"/>
    <xf numFmtId="0" fontId="1" fillId="0" borderId="3" xfId="0" applyFont="1" applyBorder="1"/>
    <xf numFmtId="0" fontId="0" fillId="0" borderId="7" xfId="0" applyBorder="1"/>
    <xf numFmtId="0" fontId="0" fillId="0" borderId="8" xfId="0" quotePrefix="1" applyBorder="1"/>
    <xf numFmtId="0" fontId="0" fillId="0" borderId="9" xfId="0" quotePrefix="1" applyBorder="1"/>
    <xf numFmtId="0" fontId="0" fillId="0" borderId="9" xfId="0" applyBorder="1"/>
    <xf numFmtId="0" fontId="0" fillId="0" borderId="10" xfId="0" quotePrefix="1" applyBorder="1"/>
    <xf numFmtId="0" fontId="1" fillId="7" borderId="13" xfId="0" applyFont="1" applyFill="1" applyBorder="1"/>
    <xf numFmtId="0" fontId="11" fillId="7" borderId="13" xfId="6" applyFill="1" applyBorder="1"/>
    <xf numFmtId="0" fontId="0" fillId="0" borderId="14" xfId="0" applyBorder="1"/>
    <xf numFmtId="0" fontId="1" fillId="0" borderId="6" xfId="0" applyFont="1" applyBorder="1"/>
    <xf numFmtId="0" fontId="13" fillId="4" borderId="1" xfId="3" applyFont="1" applyBorder="1"/>
    <xf numFmtId="0" fontId="14" fillId="0" borderId="0" xfId="0" applyFont="1"/>
    <xf numFmtId="0" fontId="12" fillId="5" borderId="13" xfId="5" applyFont="1" applyBorder="1"/>
    <xf numFmtId="49" fontId="11" fillId="7" borderId="13" xfId="6" applyNumberForma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5" fillId="5" borderId="13" xfId="5" applyFont="1" applyBorder="1"/>
    <xf numFmtId="0" fontId="1" fillId="0" borderId="2" xfId="0" applyFont="1" applyBorder="1" applyAlignment="1">
      <alignment wrapText="1"/>
    </xf>
    <xf numFmtId="164" fontId="0" fillId="0" borderId="2" xfId="0" applyNumberFormat="1" applyBorder="1"/>
    <xf numFmtId="0" fontId="9" fillId="0" borderId="0" xfId="4"/>
    <xf numFmtId="0" fontId="0" fillId="0" borderId="9" xfId="0" quotePrefix="1" applyBorder="1" applyAlignment="1">
      <alignment horizontal="right"/>
    </xf>
    <xf numFmtId="0" fontId="0" fillId="0" borderId="2" xfId="0" quotePrefix="1" applyBorder="1" applyAlignment="1">
      <alignment wrapText="1"/>
    </xf>
    <xf numFmtId="165" fontId="0" fillId="0" borderId="6" xfId="0" applyNumberFormat="1" applyBorder="1"/>
    <xf numFmtId="165" fontId="0" fillId="0" borderId="15" xfId="0" applyNumberFormat="1" applyBorder="1"/>
    <xf numFmtId="0" fontId="0" fillId="0" borderId="2" xfId="0" quotePrefix="1" applyBorder="1" applyAlignment="1">
      <alignment horizontal="left"/>
    </xf>
    <xf numFmtId="0" fontId="0" fillId="0" borderId="2" xfId="0" applyBorder="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2" builtinId="27" customBuiltin="1"/>
    <cellStyle name="Calculation" xfId="13" builtinId="22" customBuiltin="1"/>
    <cellStyle name="Check Cell" xfId="15" builtinId="23" customBuiltin="1"/>
    <cellStyle name="Explanatory Text" xfId="17" builtinId="53" customBuiltin="1"/>
    <cellStyle name="Good" xfId="1"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xfId="4" builtinId="8"/>
    <cellStyle name="Input" xfId="12" builtinId="20" customBuiltin="1"/>
    <cellStyle name="Linked Cell" xfId="14" builtinId="24" customBuiltin="1"/>
    <cellStyle name="Neutral" xfId="3" builtinId="28" customBuiltin="1"/>
    <cellStyle name="Normal" xfId="0" builtinId="0"/>
    <cellStyle name="Note" xfId="5" builtinId="10" customBuiltin="1"/>
    <cellStyle name="Output" xfId="6" builtinId="21"/>
    <cellStyle name="Output 2" xfId="43" xr:uid="{98240296-43BB-46EC-9F6F-28B7CACA68A8}"/>
    <cellStyle name="Title" xfId="7" builtinId="15" customBuiltin="1"/>
    <cellStyle name="Total" xfId="18" builtinId="25" customBuiltin="1"/>
    <cellStyle name="Warning Text" xfId="16" builtinId="11" customBuiltin="1"/>
  </cellStyles>
  <dxfs count="4">
    <dxf>
      <fill>
        <patternFill patternType="solid">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3346D-C8C7-431A-87BD-F138AD591C43}" name="Table2" displayName="Table2" ref="D62:D64" totalsRowShown="0">
  <autoFilter ref="D62:D64" xr:uid="{6823346D-C8C7-431A-87BD-F138AD591C43}"/>
  <tableColumns count="1">
    <tableColumn id="1" xr3:uid="{3D054846-007C-497E-B5A3-C2732266A995}" name="Stock availab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86B630-9DFA-4BC9-A7AC-64E3ABA1021F}" name="Table1" displayName="Table1" ref="S81:S186" totalsRowShown="0">
  <autoFilter ref="S81:S186" xr:uid="{3B86B630-9DFA-4BC9-A7AC-64E3ABA1021F}"/>
  <tableColumns count="1">
    <tableColumn id="1" xr3:uid="{AE90BC9E-6BB8-4424-971D-003834AD0320}" name="Board Number"/>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k.farnell.com/multicomp-pro/mcwr06x1503ftl/res-150k-1-0-1w-thick-film/dp/2447254" TargetMode="External"/><Relationship Id="rId13" Type="http://schemas.openxmlformats.org/officeDocument/2006/relationships/hyperlink" Target="https://uk.farnell.com/multicomp-pro/mcwr06x4702ftl/res-47k-1-0-1w-0603-thick-film/dp/2447376" TargetMode="External"/><Relationship Id="rId18" Type="http://schemas.openxmlformats.org/officeDocument/2006/relationships/hyperlink" Target="https://uk.farnell.com/samsung-electro-mechanics/cl10b105ka8nnnc/cap-1uf-25v-mlcc-0603/dp/3013415" TargetMode="External"/><Relationship Id="rId26" Type="http://schemas.openxmlformats.org/officeDocument/2006/relationships/hyperlink" Target="https://uk.farnell.com/vishay/ssc54-e3-57t/schottky-rect-single-40v-do-214ab/dp/2889250" TargetMode="External"/><Relationship Id="rId39" Type="http://schemas.openxmlformats.org/officeDocument/2006/relationships/hyperlink" Target="https://uk.farnell.com/koa/rk73z1jttd/res-jumper-2a-thick-film-0603/dp/4009217" TargetMode="External"/><Relationship Id="rId3" Type="http://schemas.openxmlformats.org/officeDocument/2006/relationships/hyperlink" Target="https://uk.farnell.com/multicomp-pro/2214s-10sg-85/socket-pcb-2-row-vert-10way/dp/1593490" TargetMode="External"/><Relationship Id="rId21" Type="http://schemas.openxmlformats.org/officeDocument/2006/relationships/hyperlink" Target="https://uk.farnell.com/murata/grm1885c1h103ja01d/cap-0-01-f-50v-5-c0g-np0-0603/dp/2456107" TargetMode="External"/><Relationship Id="rId34" Type="http://schemas.openxmlformats.org/officeDocument/2006/relationships/hyperlink" Target="https://uk.farnell.com/analog-devices/ad5293bruz-20-rl7/digital-potentiometer-single-tssop/dp/4028694" TargetMode="External"/><Relationship Id="rId42" Type="http://schemas.openxmlformats.org/officeDocument/2006/relationships/hyperlink" Target="https://uk.farnell.com/kemet/c0603c103k5racauto/cap-0-01-f-50v-10-x7r-0603/dp/2070396?MER=sy-me-pd-mi-alte" TargetMode="External"/><Relationship Id="rId47" Type="http://schemas.openxmlformats.org/officeDocument/2006/relationships/table" Target="../tables/table2.xml"/><Relationship Id="rId7" Type="http://schemas.openxmlformats.org/officeDocument/2006/relationships/hyperlink" Target="https://uk.farnell.com/multicomp-pro/mcwr06x2201ftl/res-2k2-1-0-1w-0603-thick-film/dp/2447320" TargetMode="External"/><Relationship Id="rId12" Type="http://schemas.openxmlformats.org/officeDocument/2006/relationships/hyperlink" Target="https://uk.farnell.com/multicomp-pro/mcwr06x1001ftl/res-1k-1-0-1w-0603-thick-film/dp/2447272" TargetMode="External"/><Relationship Id="rId17" Type="http://schemas.openxmlformats.org/officeDocument/2006/relationships/hyperlink" Target="https://uk.farnell.com/multicomp-pro/mcwr06x1002ftl/res-10k-1-0-1w-0603-thick-film/dp/2447230" TargetMode="External"/><Relationship Id="rId25" Type="http://schemas.openxmlformats.org/officeDocument/2006/relationships/hyperlink" Target="https://uk.farnell.com/vishay/s1j-e3-61t/rectifier-single-1a-600v-do-214ac/dp/2889034" TargetMode="External"/><Relationship Id="rId33" Type="http://schemas.openxmlformats.org/officeDocument/2006/relationships/hyperlink" Target="https://uk.farnell.com/renesas/dg408dyz/8ch-analog-mux-smd-soic16-408/dp/9663827?MER=BR-MER-PDP-RECO-STM72194" TargetMode="External"/><Relationship Id="rId38" Type="http://schemas.openxmlformats.org/officeDocument/2006/relationships/hyperlink" Target="https://uk.farnell.com/bourns/pec11r-4225f-s0024/encoder-incremental-2ch-60rpm/dp/2381866" TargetMode="External"/><Relationship Id="rId46" Type="http://schemas.openxmlformats.org/officeDocument/2006/relationships/table" Target="../tables/table1.xml"/><Relationship Id="rId2" Type="http://schemas.openxmlformats.org/officeDocument/2006/relationships/hyperlink" Target="https://uk.farnell.com/buchanan-te-connectivity/282834-2/terminal-block-wire-to-brd-2pos/dp/2112482" TargetMode="External"/><Relationship Id="rId16" Type="http://schemas.openxmlformats.org/officeDocument/2006/relationships/hyperlink" Target="https://uk.farnell.com/multicomp-pro/mcwr06x3902ftl/res-39k-1-0-1w-thick-film/dp/2447354" TargetMode="External"/><Relationship Id="rId20" Type="http://schemas.openxmlformats.org/officeDocument/2006/relationships/hyperlink" Target="https://uk.farnell.com/murata/grm31c5c1h104ja01l/cap-0-1-f-50v-5-c0g-np0-1206/dp/2494294" TargetMode="External"/><Relationship Id="rId29" Type="http://schemas.openxmlformats.org/officeDocument/2006/relationships/hyperlink" Target="https://uk.farnell.com/panasonic/eeufr1j470/cap-47-f-63v-20/dp/2760347" TargetMode="External"/><Relationship Id="rId41" Type="http://schemas.openxmlformats.org/officeDocument/2006/relationships/hyperlink" Target="https://uk.farnell.com/analog-devices/dg412dy/analogue-switch-quad-nsoic-16/dp/2512947" TargetMode="External"/><Relationship Id="rId1" Type="http://schemas.openxmlformats.org/officeDocument/2006/relationships/hyperlink" Target="https://uk.farnell.com/cliff-electronic-components/fc68125/connector-phono-3-5mm-jack-4pole/dp/2309468" TargetMode="External"/><Relationship Id="rId6" Type="http://schemas.openxmlformats.org/officeDocument/2006/relationships/hyperlink" Target="https://uk.farnell.com/multicomp-pro/mcwr06x1004ftl/res-1m-1-0-1w-0603-thick-film/dp/2447285" TargetMode="External"/><Relationship Id="rId11" Type="http://schemas.openxmlformats.org/officeDocument/2006/relationships/hyperlink" Target="https://uk.farnell.com/multicomp-pro/mcwr06x4302ftl/res-43k-1-0-1w-thick-film/dp/2447372?MER=sy-me-pd-mi-alte" TargetMode="External"/><Relationship Id="rId24" Type="http://schemas.openxmlformats.org/officeDocument/2006/relationships/hyperlink" Target="https://uk.farnell.com/samsung-electro-mechanics/cl10b104kb8nnnl/cap-mlcc-0-1uf-50vdc-x7r-0603/dp/4695928" TargetMode="External"/><Relationship Id="rId32" Type="http://schemas.openxmlformats.org/officeDocument/2006/relationships/hyperlink" Target="https://uk.farnell.com/texas-instruments/tl082acdr/op-amp-dual-jfetinput-smd-soic8/dp/3005134" TargetMode="External"/><Relationship Id="rId37" Type="http://schemas.openxmlformats.org/officeDocument/2006/relationships/hyperlink" Target="https://uk.farnell.com/cliff-electronic-components/fc681465p/dc-skt-dual-2-1-2-5mm-pcb-dc10lp/dp/1854512" TargetMode="External"/><Relationship Id="rId40" Type="http://schemas.openxmlformats.org/officeDocument/2006/relationships/hyperlink" Target="https://uk.farnell.com/wurth-elektronik/173010535/dc-dc-converter-5v-1a/dp/4627320" TargetMode="External"/><Relationship Id="rId45" Type="http://schemas.openxmlformats.org/officeDocument/2006/relationships/vmlDrawing" Target="../drawings/vmlDrawing1.vml"/><Relationship Id="rId5" Type="http://schemas.openxmlformats.org/officeDocument/2006/relationships/hyperlink" Target="https://uk.farnell.com/multicomp-pro/mcwr06x4300ftl/res-430r-1-0-1w-thick-film/dp/2447371" TargetMode="External"/><Relationship Id="rId15" Type="http://schemas.openxmlformats.org/officeDocument/2006/relationships/hyperlink" Target="https://uk.farnell.com/multicomp-pro/mcwr06x2002ftl/res-20k-1-0-1w-0603-thick-film/dp/2447293" TargetMode="External"/><Relationship Id="rId23" Type="http://schemas.openxmlformats.org/officeDocument/2006/relationships/hyperlink" Target="https://uk.farnell.com/multicomp-pro/mc0603n220j500ct/cap-22pf-50v-5-c0g-np0-0603/dp/1759057" TargetMode="External"/><Relationship Id="rId28" Type="http://schemas.openxmlformats.org/officeDocument/2006/relationships/hyperlink" Target="https://uk.farnell.com/broadcom/hsmf-a201-a00j1/led-smd-plcc4-red-grn/dp/1058420?CMP=KNC-MUK-GEN-SKU&amp;msclkid=14ef619dd2301c6a874f08fb99ac31f5" TargetMode="External"/><Relationship Id="rId36" Type="http://schemas.openxmlformats.org/officeDocument/2006/relationships/hyperlink" Target="https://uk.farnell.com/bourns/ptv09a-4020f-b104/pot-rotary-100kohm-9mm-20/dp/2469525" TargetMode="External"/><Relationship Id="rId10" Type="http://schemas.openxmlformats.org/officeDocument/2006/relationships/hyperlink" Target="https://uk.farnell.com/multicomp-pro/mcwr06x3602ftl/res-36k-1-0-1w-thick-film/dp/2447349" TargetMode="External"/><Relationship Id="rId19" Type="http://schemas.openxmlformats.org/officeDocument/2006/relationships/hyperlink" Target="https://uk.farnell.com/samsung-electro-mechanics/cl21a226maynnne/capacitor-mlcc-22uf-x7r-25v-0805/dp/4539343" TargetMode="External"/><Relationship Id="rId31" Type="http://schemas.openxmlformats.org/officeDocument/2006/relationships/hyperlink" Target="https://uk.farnell.com/e-switch/500assp1sm6qe/slide-switch-spdt-3a-28vdc-smd/dp/3292688" TargetMode="External"/><Relationship Id="rId44" Type="http://schemas.openxmlformats.org/officeDocument/2006/relationships/printerSettings" Target="../printerSettings/printerSettings1.bin"/><Relationship Id="rId4" Type="http://schemas.openxmlformats.org/officeDocument/2006/relationships/hyperlink" Target="https://uk.rs-online.com/web/p/coaxial-connectors/7100466?gb=s" TargetMode="External"/><Relationship Id="rId9" Type="http://schemas.openxmlformats.org/officeDocument/2006/relationships/hyperlink" Target="https://uk.farnell.com/multicomp-pro/mcwr06x2202ftl/res-22k-1-0-1w-0603-thick-film/dp/2447299" TargetMode="External"/><Relationship Id="rId14" Type="http://schemas.openxmlformats.org/officeDocument/2006/relationships/hyperlink" Target="https://uk.farnell.com/multicomp-pro/mcwr06x1200ftl/res-120r-1-0-1w-thick-film/dp/2447240" TargetMode="External"/><Relationship Id="rId22" Type="http://schemas.openxmlformats.org/officeDocument/2006/relationships/hyperlink" Target="https://uk.farnell.com/murata/grm31cr60j107mea8k/cap-100uf-6-3v-1206-x5r/dp/4128563" TargetMode="External"/><Relationship Id="rId27" Type="http://schemas.openxmlformats.org/officeDocument/2006/relationships/hyperlink" Target="https://uk.farnell.com/nexperia/bat54s-215/diode-schoty-dual-30v-0-2a-sot23/dp/1081194" TargetMode="External"/><Relationship Id="rId30" Type="http://schemas.openxmlformats.org/officeDocument/2006/relationships/hyperlink" Target="https://uk.farnell.com/on-semiconductor/mmbfj108/jfet-n-channel-25v-sot-23/dp/2453373" TargetMode="External"/><Relationship Id="rId35" Type="http://schemas.openxmlformats.org/officeDocument/2006/relationships/hyperlink" Target="https://uk.farnell.com/analog-devices/ad5293bruz-100-rl7/digital-potentiometer-single-tssop/dp/4028692" TargetMode="External"/><Relationship Id="rId43" Type="http://schemas.openxmlformats.org/officeDocument/2006/relationships/hyperlink" Target="https://uk.farnell.com/multicomp-pro/mcwr06x4701ftl/res-4k7-1-0-1w-0603-thick-film/dp/2447385" TargetMode="External"/><Relationship Id="rId48"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87CD-71AB-4A7A-8967-0A56E8876832}">
  <sheetPr>
    <pageSetUpPr fitToPage="1"/>
  </sheetPr>
  <dimension ref="A2:T156"/>
  <sheetViews>
    <sheetView tabSelected="1" zoomScale="70" zoomScaleNormal="70" workbookViewId="0">
      <selection activeCell="K2" sqref="K2:K49"/>
    </sheetView>
  </sheetViews>
  <sheetFormatPr defaultRowHeight="14.4" x14ac:dyDescent="0.3"/>
  <cols>
    <col min="1" max="1" width="16" bestFit="1" customWidth="1"/>
    <col min="2" max="2" width="47.44140625" customWidth="1"/>
    <col min="3" max="3" width="8.33203125" customWidth="1"/>
    <col min="4" max="4" width="23.109375" customWidth="1"/>
    <col min="5" max="5" width="20.5546875" hidden="1" customWidth="1"/>
    <col min="6" max="6" width="26.109375" customWidth="1"/>
    <col min="7" max="7" width="0.33203125" hidden="1" customWidth="1"/>
    <col min="8" max="8" width="14.44140625" bestFit="1" customWidth="1"/>
    <col min="9" max="9" width="10.33203125" customWidth="1"/>
    <col min="10" max="10" width="14.5546875" customWidth="1"/>
    <col min="11" max="11" width="8.88671875" customWidth="1"/>
    <col min="12" max="12" width="9.6640625" customWidth="1"/>
    <col min="13" max="13" width="6.33203125" customWidth="1"/>
    <col min="14" max="14" width="9.5546875" customWidth="1"/>
    <col min="15" max="15" width="12" customWidth="1"/>
    <col min="16" max="16" width="11.44140625" bestFit="1" customWidth="1"/>
    <col min="17" max="17" width="112" customWidth="1"/>
    <col min="18" max="18" width="2.33203125" customWidth="1"/>
    <col min="19" max="19" width="5" customWidth="1"/>
    <col min="20" max="20" width="5.5546875" customWidth="1"/>
  </cols>
  <sheetData>
    <row r="2" spans="1:20" s="1" customFormat="1" ht="43.2" x14ac:dyDescent="0.3">
      <c r="A2" s="9" t="s">
        <v>0</v>
      </c>
      <c r="B2" s="9" t="s">
        <v>1</v>
      </c>
      <c r="C2" s="9" t="s">
        <v>136</v>
      </c>
      <c r="D2" s="9" t="s">
        <v>2</v>
      </c>
      <c r="E2" s="9" t="s">
        <v>3</v>
      </c>
      <c r="F2" s="9" t="s">
        <v>4</v>
      </c>
      <c r="G2" s="9" t="s">
        <v>5</v>
      </c>
      <c r="H2" s="9" t="s">
        <v>6</v>
      </c>
      <c r="I2" s="28" t="s">
        <v>7</v>
      </c>
      <c r="J2" s="11" t="s">
        <v>8</v>
      </c>
      <c r="K2" s="25" t="s">
        <v>9</v>
      </c>
      <c r="L2" s="26" t="s">
        <v>10</v>
      </c>
      <c r="M2" s="17" t="s">
        <v>11</v>
      </c>
      <c r="N2" s="24" t="s">
        <v>12</v>
      </c>
      <c r="O2" s="20" t="s">
        <v>13</v>
      </c>
      <c r="P2" s="9" t="s">
        <v>14</v>
      </c>
      <c r="Q2" s="9" t="s">
        <v>15</v>
      </c>
      <c r="R2" s="9" t="s">
        <v>16</v>
      </c>
      <c r="T2" s="21" t="s">
        <v>17</v>
      </c>
    </row>
    <row r="3" spans="1:20" x14ac:dyDescent="0.3">
      <c r="A3" s="3" t="s">
        <v>24</v>
      </c>
      <c r="B3" t="s">
        <v>63</v>
      </c>
      <c r="C3" s="2"/>
      <c r="D3" s="2" t="s">
        <v>26</v>
      </c>
      <c r="E3" s="2" t="s">
        <v>61</v>
      </c>
      <c r="F3" s="2" t="s">
        <v>28</v>
      </c>
      <c r="G3" s="3"/>
      <c r="H3" s="2" t="s">
        <v>27</v>
      </c>
      <c r="I3" s="10" t="s">
        <v>18</v>
      </c>
      <c r="J3" s="13">
        <v>2309468</v>
      </c>
      <c r="K3" s="7">
        <v>1</v>
      </c>
      <c r="L3" s="19">
        <f>($T$3)*K3</f>
        <v>6</v>
      </c>
      <c r="M3" s="18">
        <v>1</v>
      </c>
      <c r="N3" s="18">
        <f>IF(I3&lt;&gt;"√",CEILING(L3,M3),0)</f>
        <v>0</v>
      </c>
      <c r="O3" s="33">
        <f>IF(N3&lt;10,2.076,1.188)</f>
        <v>2.0760000000000001</v>
      </c>
      <c r="P3" s="29">
        <f>N3*O3</f>
        <v>0</v>
      </c>
      <c r="Q3" s="30" t="s">
        <v>32</v>
      </c>
      <c r="R3" s="3"/>
      <c r="T3" s="4">
        <v>6</v>
      </c>
    </row>
    <row r="4" spans="1:20" x14ac:dyDescent="0.3">
      <c r="A4" s="3" t="s">
        <v>24</v>
      </c>
      <c r="B4" s="2" t="s">
        <v>64</v>
      </c>
      <c r="C4" s="2"/>
      <c r="D4" s="2" t="s">
        <v>25</v>
      </c>
      <c r="E4" s="2" t="s">
        <v>29</v>
      </c>
      <c r="F4" s="2" t="s">
        <v>30</v>
      </c>
      <c r="G4" s="3"/>
      <c r="H4" s="2" t="s">
        <v>33</v>
      </c>
      <c r="I4" s="10" t="s">
        <v>18</v>
      </c>
      <c r="J4" s="31" t="s">
        <v>34</v>
      </c>
      <c r="K4" s="12">
        <v>3</v>
      </c>
      <c r="L4" s="19">
        <f t="shared" ref="L4:L50" si="0">($T$3)*K4</f>
        <v>18</v>
      </c>
      <c r="M4" s="18">
        <v>1</v>
      </c>
      <c r="N4" s="18">
        <f t="shared" ref="N4:N50" si="1">IF(I4&lt;&gt;"√",CEILING(L4,M4),0)</f>
        <v>0</v>
      </c>
      <c r="O4" s="33">
        <f>IF(N4&lt;15,3.44,2.76)</f>
        <v>3.44</v>
      </c>
      <c r="P4" s="29">
        <f>N4*O4</f>
        <v>0</v>
      </c>
      <c r="Q4" s="30" t="s">
        <v>65</v>
      </c>
      <c r="R4" s="3"/>
    </row>
    <row r="5" spans="1:20" x14ac:dyDescent="0.3">
      <c r="A5" s="3" t="s">
        <v>24</v>
      </c>
      <c r="B5" s="2" t="s">
        <v>66</v>
      </c>
      <c r="C5" s="2"/>
      <c r="D5" s="2" t="s">
        <v>67</v>
      </c>
      <c r="E5" s="2" t="s">
        <v>31</v>
      </c>
      <c r="F5" s="2" t="s">
        <v>121</v>
      </c>
      <c r="G5" s="3"/>
      <c r="H5" s="2" t="s">
        <v>27</v>
      </c>
      <c r="I5" s="10" t="s">
        <v>18</v>
      </c>
      <c r="J5" s="31">
        <v>1593490</v>
      </c>
      <c r="K5" s="12">
        <v>4</v>
      </c>
      <c r="L5" s="19">
        <f t="shared" si="0"/>
        <v>24</v>
      </c>
      <c r="M5" s="18">
        <v>1</v>
      </c>
      <c r="N5" s="18">
        <f t="shared" si="1"/>
        <v>0</v>
      </c>
      <c r="O5" s="33">
        <f>IF(N5&lt;50,0.3972,0.3072)</f>
        <v>0.3972</v>
      </c>
      <c r="P5" s="29">
        <f t="shared" ref="P5:P50" si="2">N5*O5</f>
        <v>0</v>
      </c>
      <c r="Q5" s="30" t="s">
        <v>68</v>
      </c>
      <c r="R5" s="3"/>
    </row>
    <row r="6" spans="1:20" x14ac:dyDescent="0.3">
      <c r="A6" s="3" t="s">
        <v>24</v>
      </c>
      <c r="B6" s="2" t="s">
        <v>69</v>
      </c>
      <c r="C6" s="2"/>
      <c r="D6" s="2" t="s">
        <v>70</v>
      </c>
      <c r="E6" s="2" t="s">
        <v>31</v>
      </c>
      <c r="F6" s="2" t="s">
        <v>122</v>
      </c>
      <c r="G6" s="3"/>
      <c r="H6" s="2" t="s">
        <v>27</v>
      </c>
      <c r="I6" s="10" t="s">
        <v>18</v>
      </c>
      <c r="J6" s="14">
        <v>2112482</v>
      </c>
      <c r="K6" s="12">
        <v>1</v>
      </c>
      <c r="L6" s="19">
        <f t="shared" si="0"/>
        <v>6</v>
      </c>
      <c r="M6" s="18">
        <v>1</v>
      </c>
      <c r="N6" s="18">
        <f t="shared" si="1"/>
        <v>0</v>
      </c>
      <c r="O6" s="33">
        <f>IF(N6&lt;10,1.608,1.1664)</f>
        <v>1.6080000000000001</v>
      </c>
      <c r="P6" s="29">
        <f t="shared" si="2"/>
        <v>0</v>
      </c>
      <c r="Q6" s="30" t="s">
        <v>71</v>
      </c>
      <c r="R6" s="3"/>
    </row>
    <row r="7" spans="1:20" x14ac:dyDescent="0.3">
      <c r="A7" s="3" t="s">
        <v>24</v>
      </c>
      <c r="B7" s="2" t="s">
        <v>222</v>
      </c>
      <c r="C7" s="2"/>
      <c r="D7" s="2" t="s">
        <v>223</v>
      </c>
      <c r="E7" s="2"/>
      <c r="F7" s="2" t="s">
        <v>224</v>
      </c>
      <c r="G7" s="3"/>
      <c r="H7" s="2" t="s">
        <v>27</v>
      </c>
      <c r="I7" s="10" t="s">
        <v>18</v>
      </c>
      <c r="J7" s="14">
        <v>1854512</v>
      </c>
      <c r="K7" s="12">
        <v>1</v>
      </c>
      <c r="L7" s="19">
        <f t="shared" si="0"/>
        <v>6</v>
      </c>
      <c r="M7" s="18">
        <v>1</v>
      </c>
      <c r="N7" s="18">
        <f t="shared" si="1"/>
        <v>0</v>
      </c>
      <c r="O7" s="33">
        <f>IF(N7&lt;10,2.448,1.74)</f>
        <v>2.448</v>
      </c>
      <c r="P7" s="29">
        <f t="shared" si="2"/>
        <v>0</v>
      </c>
      <c r="Q7" s="30" t="s">
        <v>225</v>
      </c>
      <c r="R7" s="3"/>
    </row>
    <row r="8" spans="1:20" x14ac:dyDescent="0.3">
      <c r="A8" s="3" t="s">
        <v>72</v>
      </c>
      <c r="B8" s="3" t="s">
        <v>241</v>
      </c>
      <c r="C8" s="2" t="s">
        <v>139</v>
      </c>
      <c r="D8" s="2" t="s">
        <v>73</v>
      </c>
      <c r="E8" s="3" t="s">
        <v>59</v>
      </c>
      <c r="F8" s="3"/>
      <c r="G8" s="3"/>
      <c r="H8" s="3"/>
      <c r="I8" s="10" t="s">
        <v>18</v>
      </c>
      <c r="J8" s="15"/>
      <c r="K8" s="12">
        <v>2</v>
      </c>
      <c r="L8" s="19">
        <f t="shared" si="0"/>
        <v>12</v>
      </c>
      <c r="M8" s="18">
        <v>10</v>
      </c>
      <c r="N8" s="18">
        <f t="shared" si="1"/>
        <v>0</v>
      </c>
      <c r="O8" s="33"/>
      <c r="P8" s="29">
        <f t="shared" si="2"/>
        <v>0</v>
      </c>
      <c r="Q8" s="30"/>
      <c r="R8" s="3"/>
    </row>
    <row r="9" spans="1:20" ht="17.399999999999999" customHeight="1" x14ac:dyDescent="0.3">
      <c r="A9" s="3" t="s">
        <v>72</v>
      </c>
      <c r="B9" s="3" t="s">
        <v>74</v>
      </c>
      <c r="C9" s="3" t="s">
        <v>139</v>
      </c>
      <c r="D9" s="32" t="s">
        <v>75</v>
      </c>
      <c r="E9" s="2" t="s">
        <v>35</v>
      </c>
      <c r="F9" s="3" t="s">
        <v>49</v>
      </c>
      <c r="G9" s="3"/>
      <c r="H9" s="3" t="s">
        <v>27</v>
      </c>
      <c r="I9" s="10" t="s">
        <v>18</v>
      </c>
      <c r="J9" s="15">
        <v>2447371</v>
      </c>
      <c r="K9" s="12">
        <v>5</v>
      </c>
      <c r="L9" s="19">
        <f t="shared" si="0"/>
        <v>30</v>
      </c>
      <c r="M9" s="18">
        <v>10</v>
      </c>
      <c r="N9" s="18">
        <f t="shared" si="1"/>
        <v>0</v>
      </c>
      <c r="O9" s="33">
        <v>5.5999999999999999E-3</v>
      </c>
      <c r="P9" s="29">
        <f t="shared" si="2"/>
        <v>0</v>
      </c>
      <c r="Q9" s="30" t="s">
        <v>76</v>
      </c>
      <c r="R9" s="3"/>
    </row>
    <row r="10" spans="1:20" ht="28.8" customHeight="1" x14ac:dyDescent="0.3">
      <c r="A10" s="3" t="s">
        <v>72</v>
      </c>
      <c r="B10" s="3" t="s">
        <v>77</v>
      </c>
      <c r="C10" s="2" t="s">
        <v>139</v>
      </c>
      <c r="D10" s="32" t="s">
        <v>243</v>
      </c>
      <c r="E10" s="2" t="s">
        <v>36</v>
      </c>
      <c r="F10" s="2" t="s">
        <v>123</v>
      </c>
      <c r="G10" s="3"/>
      <c r="H10" s="2" t="s">
        <v>27</v>
      </c>
      <c r="I10" s="10" t="s">
        <v>21</v>
      </c>
      <c r="J10" s="14">
        <v>2447230</v>
      </c>
      <c r="K10" s="12">
        <v>13</v>
      </c>
      <c r="L10" s="19">
        <f t="shared" si="0"/>
        <v>78</v>
      </c>
      <c r="M10" s="18">
        <v>10</v>
      </c>
      <c r="N10" s="18">
        <f t="shared" si="1"/>
        <v>80</v>
      </c>
      <c r="O10" s="33">
        <f>IF(N10&lt;100,0.0056,0.0037)</f>
        <v>5.5999999999999999E-3</v>
      </c>
      <c r="P10" s="29">
        <f t="shared" si="2"/>
        <v>0.44800000000000001</v>
      </c>
      <c r="Q10" s="30" t="s">
        <v>124</v>
      </c>
      <c r="R10" s="3"/>
    </row>
    <row r="11" spans="1:20" x14ac:dyDescent="0.3">
      <c r="A11" s="3" t="s">
        <v>72</v>
      </c>
      <c r="B11" s="3" t="s">
        <v>78</v>
      </c>
      <c r="C11" s="3" t="s">
        <v>139</v>
      </c>
      <c r="D11" s="2" t="s">
        <v>79</v>
      </c>
      <c r="E11" s="2" t="s">
        <v>36</v>
      </c>
      <c r="F11" s="2" t="s">
        <v>48</v>
      </c>
      <c r="G11" s="3"/>
      <c r="H11" s="2" t="s">
        <v>27</v>
      </c>
      <c r="I11" s="10" t="s">
        <v>18</v>
      </c>
      <c r="J11" s="14">
        <v>2447285</v>
      </c>
      <c r="K11" s="12">
        <v>1</v>
      </c>
      <c r="L11" s="19">
        <f t="shared" si="0"/>
        <v>6</v>
      </c>
      <c r="M11" s="18">
        <v>10</v>
      </c>
      <c r="N11" s="18">
        <f t="shared" si="1"/>
        <v>0</v>
      </c>
      <c r="O11" s="33">
        <v>6.1999999999999998E-3</v>
      </c>
      <c r="P11" s="29">
        <f t="shared" si="2"/>
        <v>0</v>
      </c>
      <c r="Q11" s="30" t="s">
        <v>80</v>
      </c>
      <c r="R11" s="3"/>
    </row>
    <row r="12" spans="1:20" x14ac:dyDescent="0.3">
      <c r="A12" s="3" t="s">
        <v>72</v>
      </c>
      <c r="B12" s="3" t="s">
        <v>81</v>
      </c>
      <c r="C12" s="2" t="s">
        <v>139</v>
      </c>
      <c r="D12" t="s">
        <v>82</v>
      </c>
      <c r="E12" s="2" t="s">
        <v>36</v>
      </c>
      <c r="F12" s="2" t="s">
        <v>47</v>
      </c>
      <c r="G12" s="3"/>
      <c r="H12" s="2" t="s">
        <v>27</v>
      </c>
      <c r="I12" s="10" t="s">
        <v>21</v>
      </c>
      <c r="J12" s="14">
        <v>2447320</v>
      </c>
      <c r="K12" s="12">
        <v>6</v>
      </c>
      <c r="L12" s="19">
        <f t="shared" si="0"/>
        <v>36</v>
      </c>
      <c r="M12" s="18">
        <v>10</v>
      </c>
      <c r="N12" s="18">
        <f t="shared" si="1"/>
        <v>40</v>
      </c>
      <c r="O12" s="33">
        <v>5.8999999999999999E-3</v>
      </c>
      <c r="P12" s="29">
        <f t="shared" si="2"/>
        <v>0.23599999999999999</v>
      </c>
      <c r="Q12" s="30" t="s">
        <v>83</v>
      </c>
      <c r="R12" s="3"/>
    </row>
    <row r="13" spans="1:20" x14ac:dyDescent="0.3">
      <c r="A13" s="3" t="s">
        <v>72</v>
      </c>
      <c r="B13" s="3" t="s">
        <v>84</v>
      </c>
      <c r="C13" s="3" t="s">
        <v>139</v>
      </c>
      <c r="D13" s="2" t="s">
        <v>85</v>
      </c>
      <c r="E13" s="2" t="s">
        <v>37</v>
      </c>
      <c r="F13" s="2" t="s">
        <v>62</v>
      </c>
      <c r="G13" s="3"/>
      <c r="H13" s="2" t="s">
        <v>27</v>
      </c>
      <c r="I13" s="10" t="s">
        <v>21</v>
      </c>
      <c r="J13" s="14">
        <v>2447385</v>
      </c>
      <c r="K13" s="12">
        <v>1</v>
      </c>
      <c r="L13" s="19">
        <f t="shared" si="0"/>
        <v>6</v>
      </c>
      <c r="M13" s="18">
        <v>10</v>
      </c>
      <c r="N13" s="18">
        <f t="shared" si="1"/>
        <v>10</v>
      </c>
      <c r="O13" s="33">
        <v>6.6E-3</v>
      </c>
      <c r="P13" s="29">
        <f t="shared" si="2"/>
        <v>6.6000000000000003E-2</v>
      </c>
      <c r="Q13" s="30" t="s">
        <v>86</v>
      </c>
      <c r="R13" s="3"/>
    </row>
    <row r="14" spans="1:20" x14ac:dyDescent="0.3">
      <c r="A14" s="3" t="s">
        <v>72</v>
      </c>
      <c r="B14" s="2" t="s">
        <v>87</v>
      </c>
      <c r="C14" s="2" t="s">
        <v>139</v>
      </c>
      <c r="D14" s="2" t="s">
        <v>88</v>
      </c>
      <c r="E14" s="2" t="s">
        <v>50</v>
      </c>
      <c r="F14" s="2" t="s">
        <v>46</v>
      </c>
      <c r="G14" s="3"/>
      <c r="H14" s="2" t="s">
        <v>27</v>
      </c>
      <c r="I14" s="10" t="s">
        <v>18</v>
      </c>
      <c r="J14" s="14">
        <v>2447226</v>
      </c>
      <c r="K14" s="12">
        <v>1</v>
      </c>
      <c r="L14" s="19">
        <f t="shared" si="0"/>
        <v>6</v>
      </c>
      <c r="M14" s="18">
        <v>10</v>
      </c>
      <c r="N14" s="18">
        <f t="shared" si="1"/>
        <v>0</v>
      </c>
      <c r="O14" s="33">
        <v>5.7999999999999996E-3</v>
      </c>
      <c r="P14" s="29">
        <f t="shared" si="2"/>
        <v>0</v>
      </c>
      <c r="Q14" s="30" t="s">
        <v>89</v>
      </c>
      <c r="R14" s="3"/>
    </row>
    <row r="15" spans="1:20" x14ac:dyDescent="0.3">
      <c r="A15" s="3" t="s">
        <v>72</v>
      </c>
      <c r="B15" s="2" t="s">
        <v>90</v>
      </c>
      <c r="C15" s="3" t="s">
        <v>139</v>
      </c>
      <c r="D15" s="2" t="s">
        <v>91</v>
      </c>
      <c r="E15" s="2" t="s">
        <v>39</v>
      </c>
      <c r="F15" s="2" t="s">
        <v>45</v>
      </c>
      <c r="G15" s="3"/>
      <c r="H15" s="2" t="s">
        <v>27</v>
      </c>
      <c r="I15" s="10" t="s">
        <v>18</v>
      </c>
      <c r="J15" s="14">
        <v>2447254</v>
      </c>
      <c r="K15" s="12">
        <v>1</v>
      </c>
      <c r="L15" s="19">
        <f t="shared" si="0"/>
        <v>6</v>
      </c>
      <c r="M15" s="18">
        <v>10</v>
      </c>
      <c r="N15" s="18">
        <f t="shared" si="1"/>
        <v>0</v>
      </c>
      <c r="O15" s="33">
        <v>5.4999999999999997E-3</v>
      </c>
      <c r="P15" s="29">
        <f t="shared" si="2"/>
        <v>0</v>
      </c>
      <c r="Q15" s="30" t="s">
        <v>92</v>
      </c>
      <c r="R15" s="3"/>
    </row>
    <row r="16" spans="1:20" x14ac:dyDescent="0.3">
      <c r="A16" s="3" t="s">
        <v>72</v>
      </c>
      <c r="B16" s="2" t="s">
        <v>93</v>
      </c>
      <c r="C16" s="2" t="s">
        <v>139</v>
      </c>
      <c r="D16" s="2" t="s">
        <v>242</v>
      </c>
      <c r="E16" s="2" t="s">
        <v>39</v>
      </c>
      <c r="F16" s="2" t="s">
        <v>44</v>
      </c>
      <c r="G16" s="3"/>
      <c r="H16" s="2" t="s">
        <v>27</v>
      </c>
      <c r="I16" s="10" t="s">
        <v>18</v>
      </c>
      <c r="J16" s="14">
        <v>2447299</v>
      </c>
      <c r="K16" s="12">
        <v>2</v>
      </c>
      <c r="L16" s="19">
        <f t="shared" si="0"/>
        <v>12</v>
      </c>
      <c r="M16" s="18">
        <v>10</v>
      </c>
      <c r="N16" s="18">
        <f t="shared" si="1"/>
        <v>0</v>
      </c>
      <c r="O16" s="33">
        <v>6.4999999999999997E-3</v>
      </c>
      <c r="P16" s="29">
        <f t="shared" si="2"/>
        <v>0</v>
      </c>
      <c r="Q16" s="30" t="s">
        <v>94</v>
      </c>
      <c r="R16" s="3"/>
    </row>
    <row r="17" spans="1:18" x14ac:dyDescent="0.3">
      <c r="A17" s="3" t="s">
        <v>72</v>
      </c>
      <c r="B17" s="2" t="s">
        <v>95</v>
      </c>
      <c r="C17" s="3" t="s">
        <v>139</v>
      </c>
      <c r="D17" s="2" t="s">
        <v>96</v>
      </c>
      <c r="E17" s="3" t="s">
        <v>39</v>
      </c>
      <c r="F17" s="3" t="s">
        <v>43</v>
      </c>
      <c r="H17" s="3" t="s">
        <v>27</v>
      </c>
      <c r="I17" s="10" t="s">
        <v>18</v>
      </c>
      <c r="J17" s="15">
        <v>2447349</v>
      </c>
      <c r="K17" s="12">
        <v>1</v>
      </c>
      <c r="L17" s="19">
        <f t="shared" si="0"/>
        <v>6</v>
      </c>
      <c r="M17" s="18">
        <v>10</v>
      </c>
      <c r="N17" s="18">
        <f t="shared" si="1"/>
        <v>0</v>
      </c>
      <c r="O17" s="33">
        <v>5.4999999999999997E-3</v>
      </c>
      <c r="P17" s="29">
        <f t="shared" si="2"/>
        <v>0</v>
      </c>
      <c r="Q17" s="30" t="s">
        <v>97</v>
      </c>
      <c r="R17" s="3"/>
    </row>
    <row r="18" spans="1:18" x14ac:dyDescent="0.3">
      <c r="A18" s="3" t="s">
        <v>72</v>
      </c>
      <c r="B18" s="3" t="s">
        <v>98</v>
      </c>
      <c r="C18" s="2" t="s">
        <v>139</v>
      </c>
      <c r="D18" s="2" t="s">
        <v>99</v>
      </c>
      <c r="E18" s="2" t="s">
        <v>39</v>
      </c>
      <c r="F18" s="3" t="s">
        <v>41</v>
      </c>
      <c r="G18" s="3"/>
      <c r="H18" s="3" t="s">
        <v>27</v>
      </c>
      <c r="I18" s="10" t="s">
        <v>18</v>
      </c>
      <c r="J18" s="15">
        <v>2447372</v>
      </c>
      <c r="K18" s="12">
        <v>1</v>
      </c>
      <c r="L18" s="19">
        <f t="shared" si="0"/>
        <v>6</v>
      </c>
      <c r="M18" s="18">
        <v>10</v>
      </c>
      <c r="N18" s="18">
        <f t="shared" si="1"/>
        <v>0</v>
      </c>
      <c r="O18" s="33">
        <v>6.1999999999999998E-3</v>
      </c>
      <c r="P18" s="29">
        <f t="shared" si="2"/>
        <v>0</v>
      </c>
      <c r="Q18" s="30" t="s">
        <v>100</v>
      </c>
      <c r="R18" s="3"/>
    </row>
    <row r="19" spans="1:18" x14ac:dyDescent="0.3">
      <c r="A19" s="3" t="s">
        <v>72</v>
      </c>
      <c r="B19" s="3" t="s">
        <v>101</v>
      </c>
      <c r="C19" s="3" t="s">
        <v>139</v>
      </c>
      <c r="D19" s="2" t="s">
        <v>102</v>
      </c>
      <c r="E19" s="2" t="s">
        <v>39</v>
      </c>
      <c r="F19" s="3" t="s">
        <v>103</v>
      </c>
      <c r="G19" s="3"/>
      <c r="H19" s="3" t="s">
        <v>27</v>
      </c>
      <c r="I19" s="10" t="s">
        <v>18</v>
      </c>
      <c r="J19" s="15">
        <v>2447272</v>
      </c>
      <c r="K19" s="12">
        <v>1</v>
      </c>
      <c r="L19" s="19">
        <f t="shared" si="0"/>
        <v>6</v>
      </c>
      <c r="M19" s="18">
        <v>10</v>
      </c>
      <c r="N19" s="18">
        <f t="shared" si="1"/>
        <v>0</v>
      </c>
      <c r="O19" s="33">
        <v>5.8999999999999999E-3</v>
      </c>
      <c r="P19" s="29">
        <f t="shared" si="2"/>
        <v>0</v>
      </c>
      <c r="Q19" s="30" t="s">
        <v>104</v>
      </c>
      <c r="R19" s="3"/>
    </row>
    <row r="20" spans="1:18" x14ac:dyDescent="0.3">
      <c r="A20" s="3" t="s">
        <v>72</v>
      </c>
      <c r="B20" s="3" t="s">
        <v>107</v>
      </c>
      <c r="C20" s="2" t="s">
        <v>139</v>
      </c>
      <c r="D20" s="2" t="s">
        <v>108</v>
      </c>
      <c r="E20" s="2" t="s">
        <v>39</v>
      </c>
      <c r="F20" s="3" t="s">
        <v>105</v>
      </c>
      <c r="G20" s="3"/>
      <c r="H20" s="3" t="s">
        <v>27</v>
      </c>
      <c r="I20" s="10" t="s">
        <v>18</v>
      </c>
      <c r="J20" s="15">
        <v>2447376</v>
      </c>
      <c r="K20" s="12">
        <v>2</v>
      </c>
      <c r="L20" s="19">
        <f t="shared" si="0"/>
        <v>12</v>
      </c>
      <c r="M20" s="18">
        <v>10</v>
      </c>
      <c r="N20" s="18">
        <f t="shared" si="1"/>
        <v>0</v>
      </c>
      <c r="O20" s="33">
        <v>5.8999999999999999E-3</v>
      </c>
      <c r="P20" s="29">
        <f t="shared" si="2"/>
        <v>0</v>
      </c>
      <c r="Q20" s="30" t="s">
        <v>106</v>
      </c>
      <c r="R20" s="3"/>
    </row>
    <row r="21" spans="1:18" x14ac:dyDescent="0.3">
      <c r="A21" s="3" t="s">
        <v>72</v>
      </c>
      <c r="B21" s="3" t="s">
        <v>240</v>
      </c>
      <c r="C21" s="3" t="s">
        <v>139</v>
      </c>
      <c r="D21" s="2" t="s">
        <v>109</v>
      </c>
      <c r="E21" s="2" t="s">
        <v>39</v>
      </c>
      <c r="F21" s="2"/>
      <c r="G21" s="3"/>
      <c r="H21" s="2"/>
      <c r="I21" s="10" t="s">
        <v>18</v>
      </c>
      <c r="J21" s="14"/>
      <c r="K21" s="12">
        <v>1</v>
      </c>
      <c r="L21" s="19">
        <f t="shared" si="0"/>
        <v>6</v>
      </c>
      <c r="M21" s="18">
        <v>10</v>
      </c>
      <c r="N21" s="18">
        <f t="shared" si="1"/>
        <v>0</v>
      </c>
      <c r="O21" s="33"/>
      <c r="P21" s="29">
        <f t="shared" si="2"/>
        <v>0</v>
      </c>
      <c r="Q21" s="30"/>
      <c r="R21" s="3"/>
    </row>
    <row r="22" spans="1:18" x14ac:dyDescent="0.3">
      <c r="A22" s="3" t="s">
        <v>72</v>
      </c>
      <c r="B22" s="2" t="s">
        <v>110</v>
      </c>
      <c r="C22" s="2" t="s">
        <v>139</v>
      </c>
      <c r="D22" s="2" t="s">
        <v>111</v>
      </c>
      <c r="E22" s="2" t="s">
        <v>39</v>
      </c>
      <c r="F22" s="2" t="s">
        <v>112</v>
      </c>
      <c r="G22" s="3"/>
      <c r="H22" s="2" t="s">
        <v>27</v>
      </c>
      <c r="I22" s="10" t="s">
        <v>18</v>
      </c>
      <c r="J22" s="14">
        <v>2447240</v>
      </c>
      <c r="K22" s="12">
        <v>2</v>
      </c>
      <c r="L22" s="19">
        <f t="shared" si="0"/>
        <v>12</v>
      </c>
      <c r="M22" s="18">
        <v>10</v>
      </c>
      <c r="N22" s="18">
        <f t="shared" si="1"/>
        <v>0</v>
      </c>
      <c r="O22" s="33">
        <v>6.1000000000000004E-3</v>
      </c>
      <c r="P22" s="29">
        <f t="shared" si="2"/>
        <v>0</v>
      </c>
      <c r="Q22" s="30" t="s">
        <v>113</v>
      </c>
      <c r="R22" s="3"/>
    </row>
    <row r="23" spans="1:18" x14ac:dyDescent="0.3">
      <c r="A23" s="3" t="s">
        <v>72</v>
      </c>
      <c r="B23" s="3" t="s">
        <v>114</v>
      </c>
      <c r="C23" s="3" t="s">
        <v>139</v>
      </c>
      <c r="D23" s="2" t="s">
        <v>115</v>
      </c>
      <c r="E23" s="2" t="s">
        <v>39</v>
      </c>
      <c r="F23" s="2" t="s">
        <v>116</v>
      </c>
      <c r="G23" s="3"/>
      <c r="H23" s="2" t="s">
        <v>27</v>
      </c>
      <c r="I23" s="10" t="s">
        <v>21</v>
      </c>
      <c r="J23" s="14">
        <v>2447293</v>
      </c>
      <c r="K23" s="12">
        <v>1</v>
      </c>
      <c r="L23" s="19">
        <f t="shared" si="0"/>
        <v>6</v>
      </c>
      <c r="M23" s="18">
        <v>10</v>
      </c>
      <c r="N23" s="18">
        <f t="shared" si="1"/>
        <v>10</v>
      </c>
      <c r="O23" s="33">
        <v>6.1000000000000004E-3</v>
      </c>
      <c r="P23" s="29">
        <f t="shared" si="2"/>
        <v>6.1000000000000006E-2</v>
      </c>
      <c r="Q23" s="30" t="s">
        <v>117</v>
      </c>
      <c r="R23" s="3"/>
    </row>
    <row r="24" spans="1:18" x14ac:dyDescent="0.3">
      <c r="A24" s="3" t="s">
        <v>72</v>
      </c>
      <c r="B24" s="2" t="s">
        <v>118</v>
      </c>
      <c r="C24" s="2" t="s">
        <v>139</v>
      </c>
      <c r="D24" s="2" t="s">
        <v>119</v>
      </c>
      <c r="E24" s="2" t="s">
        <v>39</v>
      </c>
      <c r="F24" s="2" t="s">
        <v>42</v>
      </c>
      <c r="G24" s="3"/>
      <c r="H24" s="2" t="s">
        <v>27</v>
      </c>
      <c r="I24" s="10" t="s">
        <v>18</v>
      </c>
      <c r="J24" s="14">
        <v>2447354</v>
      </c>
      <c r="K24" s="12">
        <v>1</v>
      </c>
      <c r="L24" s="19">
        <f t="shared" si="0"/>
        <v>6</v>
      </c>
      <c r="M24" s="18">
        <v>10</v>
      </c>
      <c r="N24" s="18">
        <f t="shared" si="1"/>
        <v>0</v>
      </c>
      <c r="O24" s="33">
        <v>5.8999999999999999E-3</v>
      </c>
      <c r="P24" s="29">
        <f t="shared" si="2"/>
        <v>0</v>
      </c>
      <c r="Q24" s="30" t="s">
        <v>120</v>
      </c>
      <c r="R24" s="3"/>
    </row>
    <row r="25" spans="1:18" x14ac:dyDescent="0.3">
      <c r="A25" s="3" t="s">
        <v>72</v>
      </c>
      <c r="B25" s="2" t="s">
        <v>231</v>
      </c>
      <c r="C25" s="2" t="s">
        <v>139</v>
      </c>
      <c r="D25" s="2" t="s">
        <v>232</v>
      </c>
      <c r="E25" s="2"/>
      <c r="F25" s="2" t="s">
        <v>52</v>
      </c>
      <c r="G25" s="3"/>
      <c r="H25" s="2" t="s">
        <v>27</v>
      </c>
      <c r="I25" s="10" t="s">
        <v>18</v>
      </c>
      <c r="J25" s="14">
        <v>4009217</v>
      </c>
      <c r="K25" s="12">
        <v>4</v>
      </c>
      <c r="L25" s="19">
        <f t="shared" si="0"/>
        <v>24</v>
      </c>
      <c r="M25" s="18">
        <v>10</v>
      </c>
      <c r="N25" s="18">
        <f t="shared" si="1"/>
        <v>0</v>
      </c>
      <c r="O25" s="33">
        <v>6.4000000000000003E-3</v>
      </c>
      <c r="P25" s="29">
        <f t="shared" si="2"/>
        <v>0</v>
      </c>
      <c r="Q25" s="30" t="s">
        <v>233</v>
      </c>
      <c r="R25" s="3"/>
    </row>
    <row r="26" spans="1:18" x14ac:dyDescent="0.3">
      <c r="A26" s="3" t="s">
        <v>125</v>
      </c>
      <c r="B26" s="2" t="s">
        <v>126</v>
      </c>
      <c r="C26" s="2" t="s">
        <v>138</v>
      </c>
      <c r="D26" s="2" t="s">
        <v>127</v>
      </c>
      <c r="E26" s="2" t="s">
        <v>39</v>
      </c>
      <c r="F26" s="2" t="s">
        <v>237</v>
      </c>
      <c r="G26" s="3"/>
      <c r="H26" s="2" t="s">
        <v>27</v>
      </c>
      <c r="I26" s="10" t="s">
        <v>18</v>
      </c>
      <c r="J26" s="14">
        <v>2070396</v>
      </c>
      <c r="K26" s="12">
        <v>3</v>
      </c>
      <c r="L26" s="19">
        <f t="shared" si="0"/>
        <v>18</v>
      </c>
      <c r="M26" s="18">
        <v>10</v>
      </c>
      <c r="N26" s="18">
        <f t="shared" si="1"/>
        <v>0</v>
      </c>
      <c r="O26" s="33">
        <v>0.04</v>
      </c>
      <c r="P26" s="29">
        <f t="shared" si="2"/>
        <v>0</v>
      </c>
      <c r="Q26" s="30" t="s">
        <v>238</v>
      </c>
      <c r="R26" s="3"/>
    </row>
    <row r="27" spans="1:18" ht="100.8" x14ac:dyDescent="0.3">
      <c r="A27" s="3" t="s">
        <v>125</v>
      </c>
      <c r="B27" s="2" t="s">
        <v>128</v>
      </c>
      <c r="C27" s="2" t="s">
        <v>138</v>
      </c>
      <c r="D27" s="32" t="s">
        <v>239</v>
      </c>
      <c r="E27" s="2" t="s">
        <v>39</v>
      </c>
      <c r="F27" s="2" t="s">
        <v>157</v>
      </c>
      <c r="G27" s="3"/>
      <c r="H27" s="2" t="s">
        <v>27</v>
      </c>
      <c r="I27" s="10" t="s">
        <v>18</v>
      </c>
      <c r="J27" s="14">
        <v>4695928</v>
      </c>
      <c r="K27" s="12">
        <v>36</v>
      </c>
      <c r="L27" s="19">
        <f t="shared" si="0"/>
        <v>216</v>
      </c>
      <c r="M27" s="18">
        <v>10</v>
      </c>
      <c r="N27" s="18">
        <f t="shared" si="1"/>
        <v>0</v>
      </c>
      <c r="O27" s="33">
        <f>IF(N27&lt;100,0.0108,0.0086)</f>
        <v>1.0800000000000001E-2</v>
      </c>
      <c r="P27" s="29">
        <f t="shared" si="2"/>
        <v>0</v>
      </c>
      <c r="Q27" s="30" t="s">
        <v>158</v>
      </c>
      <c r="R27" s="3"/>
    </row>
    <row r="28" spans="1:18" x14ac:dyDescent="0.3">
      <c r="A28" s="3" t="s">
        <v>125</v>
      </c>
      <c r="B28" s="2" t="s">
        <v>129</v>
      </c>
      <c r="C28" s="2" t="s">
        <v>138</v>
      </c>
      <c r="D28" s="2" t="s">
        <v>152</v>
      </c>
      <c r="E28" s="2" t="s">
        <v>39</v>
      </c>
      <c r="F28" s="2" t="s">
        <v>130</v>
      </c>
      <c r="G28" s="3"/>
      <c r="H28" s="2" t="s">
        <v>27</v>
      </c>
      <c r="I28" s="10" t="s">
        <v>18</v>
      </c>
      <c r="J28" s="14">
        <v>3013415</v>
      </c>
      <c r="K28" s="12">
        <v>6</v>
      </c>
      <c r="L28" s="19">
        <f t="shared" si="0"/>
        <v>36</v>
      </c>
      <c r="M28" s="18">
        <v>10</v>
      </c>
      <c r="N28" s="18">
        <f t="shared" si="1"/>
        <v>0</v>
      </c>
      <c r="O28" s="33">
        <v>1.6299999999999999E-2</v>
      </c>
      <c r="P28" s="29">
        <f t="shared" si="2"/>
        <v>0</v>
      </c>
      <c r="Q28" s="30" t="s">
        <v>131</v>
      </c>
      <c r="R28" s="3"/>
    </row>
    <row r="29" spans="1:18" x14ac:dyDescent="0.3">
      <c r="A29" s="3" t="s">
        <v>125</v>
      </c>
      <c r="B29" s="2" t="s">
        <v>132</v>
      </c>
      <c r="C29" s="2" t="s">
        <v>137</v>
      </c>
      <c r="D29" s="2" t="s">
        <v>133</v>
      </c>
      <c r="E29" s="2" t="s">
        <v>39</v>
      </c>
      <c r="F29" s="2" t="s">
        <v>134</v>
      </c>
      <c r="G29" s="3"/>
      <c r="H29" s="2" t="s">
        <v>27</v>
      </c>
      <c r="I29" s="10" t="s">
        <v>18</v>
      </c>
      <c r="J29" s="14">
        <v>4539343</v>
      </c>
      <c r="K29" s="12">
        <v>6</v>
      </c>
      <c r="L29" s="19">
        <f t="shared" si="0"/>
        <v>36</v>
      </c>
      <c r="M29" s="18">
        <v>5</v>
      </c>
      <c r="N29" s="18">
        <f t="shared" si="1"/>
        <v>0</v>
      </c>
      <c r="O29" s="33">
        <v>0.1038</v>
      </c>
      <c r="P29" s="29">
        <f t="shared" si="2"/>
        <v>0</v>
      </c>
      <c r="Q29" s="30" t="s">
        <v>135</v>
      </c>
      <c r="R29" s="3"/>
    </row>
    <row r="30" spans="1:18" x14ac:dyDescent="0.3">
      <c r="A30" s="3" t="s">
        <v>125</v>
      </c>
      <c r="B30" s="2" t="s">
        <v>140</v>
      </c>
      <c r="C30" s="2" t="s">
        <v>141</v>
      </c>
      <c r="D30" s="2" t="s">
        <v>142</v>
      </c>
      <c r="E30" s="2" t="s">
        <v>39</v>
      </c>
      <c r="F30" s="2" t="s">
        <v>143</v>
      </c>
      <c r="G30" s="3"/>
      <c r="H30" s="2" t="s">
        <v>27</v>
      </c>
      <c r="I30" s="10" t="s">
        <v>18</v>
      </c>
      <c r="J30" s="14">
        <v>2494294</v>
      </c>
      <c r="K30" s="12">
        <v>3</v>
      </c>
      <c r="L30" s="19">
        <f t="shared" si="0"/>
        <v>18</v>
      </c>
      <c r="M30" s="18">
        <v>5</v>
      </c>
      <c r="N30" s="18">
        <f t="shared" si="1"/>
        <v>0</v>
      </c>
      <c r="O30" s="33">
        <v>0.45839999999999997</v>
      </c>
      <c r="P30" s="29">
        <f t="shared" si="2"/>
        <v>0</v>
      </c>
      <c r="Q30" s="30" t="s">
        <v>144</v>
      </c>
      <c r="R30" s="3"/>
    </row>
    <row r="31" spans="1:18" x14ac:dyDescent="0.3">
      <c r="A31" s="3" t="s">
        <v>125</v>
      </c>
      <c r="B31" s="2" t="s">
        <v>145</v>
      </c>
      <c r="C31" s="2" t="s">
        <v>138</v>
      </c>
      <c r="D31" s="2" t="s">
        <v>146</v>
      </c>
      <c r="E31" s="2" t="s">
        <v>51</v>
      </c>
      <c r="F31" s="2" t="s">
        <v>147</v>
      </c>
      <c r="G31" s="3"/>
      <c r="H31" s="2" t="s">
        <v>27</v>
      </c>
      <c r="I31" s="10" t="s">
        <v>18</v>
      </c>
      <c r="J31" s="14">
        <v>2456107</v>
      </c>
      <c r="K31" s="12">
        <v>3</v>
      </c>
      <c r="L31" s="19">
        <f t="shared" si="0"/>
        <v>18</v>
      </c>
      <c r="M31" s="18">
        <v>10</v>
      </c>
      <c r="N31" s="18">
        <f t="shared" si="1"/>
        <v>0</v>
      </c>
      <c r="O31" s="33">
        <v>4.58E-2</v>
      </c>
      <c r="P31" s="29">
        <f t="shared" si="2"/>
        <v>0</v>
      </c>
      <c r="Q31" s="30" t="s">
        <v>148</v>
      </c>
      <c r="R31" s="3"/>
    </row>
    <row r="32" spans="1:18" x14ac:dyDescent="0.3">
      <c r="A32" s="3" t="s">
        <v>125</v>
      </c>
      <c r="B32" s="2" t="s">
        <v>149</v>
      </c>
      <c r="C32" s="2" t="s">
        <v>141</v>
      </c>
      <c r="D32" s="2" t="s">
        <v>150</v>
      </c>
      <c r="E32" s="2" t="s">
        <v>40</v>
      </c>
      <c r="F32" s="2" t="s">
        <v>60</v>
      </c>
      <c r="G32" s="3"/>
      <c r="H32" s="2" t="s">
        <v>27</v>
      </c>
      <c r="I32" s="10" t="s">
        <v>18</v>
      </c>
      <c r="J32" s="31">
        <v>4128563</v>
      </c>
      <c r="K32" s="12">
        <v>1</v>
      </c>
      <c r="L32" s="19">
        <f t="shared" si="0"/>
        <v>6</v>
      </c>
      <c r="M32" s="18">
        <v>10</v>
      </c>
      <c r="N32" s="18">
        <f t="shared" si="1"/>
        <v>0</v>
      </c>
      <c r="O32" s="33">
        <v>0.30480000000000002</v>
      </c>
      <c r="P32" s="29">
        <f t="shared" si="2"/>
        <v>0</v>
      </c>
      <c r="Q32" s="30" t="s">
        <v>151</v>
      </c>
      <c r="R32" s="3"/>
    </row>
    <row r="33" spans="1:18" x14ac:dyDescent="0.3">
      <c r="A33" s="3" t="s">
        <v>125</v>
      </c>
      <c r="B33" s="2" t="s">
        <v>153</v>
      </c>
      <c r="C33" s="2" t="s">
        <v>138</v>
      </c>
      <c r="D33" s="2" t="s">
        <v>154</v>
      </c>
      <c r="E33" s="2" t="s">
        <v>54</v>
      </c>
      <c r="F33" s="2" t="s">
        <v>155</v>
      </c>
      <c r="G33" s="3"/>
      <c r="H33" s="2" t="s">
        <v>27</v>
      </c>
      <c r="I33" s="10" t="s">
        <v>18</v>
      </c>
      <c r="J33" s="14">
        <v>1759057</v>
      </c>
      <c r="K33" s="12">
        <v>2</v>
      </c>
      <c r="L33" s="19">
        <f t="shared" si="0"/>
        <v>12</v>
      </c>
      <c r="M33" s="18">
        <v>10</v>
      </c>
      <c r="N33" s="18">
        <f t="shared" si="1"/>
        <v>0</v>
      </c>
      <c r="O33" s="33">
        <v>1.78E-2</v>
      </c>
      <c r="P33" s="29">
        <f t="shared" si="2"/>
        <v>0</v>
      </c>
      <c r="Q33" s="30" t="s">
        <v>156</v>
      </c>
      <c r="R33" s="3"/>
    </row>
    <row r="34" spans="1:18" x14ac:dyDescent="0.3">
      <c r="A34" s="3" t="s">
        <v>125</v>
      </c>
      <c r="B34" s="2" t="s">
        <v>178</v>
      </c>
      <c r="C34" s="2" t="s">
        <v>179</v>
      </c>
      <c r="D34" s="2" t="s">
        <v>180</v>
      </c>
      <c r="E34" s="2"/>
      <c r="F34" s="2" t="s">
        <v>181</v>
      </c>
      <c r="G34" s="3"/>
      <c r="H34" s="2" t="s">
        <v>27</v>
      </c>
      <c r="I34" s="10" t="s">
        <v>18</v>
      </c>
      <c r="J34" s="14">
        <v>2760347</v>
      </c>
      <c r="K34" s="12">
        <v>1</v>
      </c>
      <c r="L34" s="19">
        <f t="shared" si="0"/>
        <v>6</v>
      </c>
      <c r="M34" s="18">
        <v>1</v>
      </c>
      <c r="N34" s="18">
        <f t="shared" si="1"/>
        <v>0</v>
      </c>
      <c r="O34" s="33" cm="1">
        <f t="array" ref="O34">_xlfn.IFS(N34&lt;5,0.2904,N34&lt;10,0.2268,N34&gt;10,0.2076)</f>
        <v>0.29039999999999999</v>
      </c>
      <c r="P34" s="29">
        <f t="shared" si="2"/>
        <v>0</v>
      </c>
      <c r="Q34" s="30" t="s">
        <v>182</v>
      </c>
      <c r="R34" s="3"/>
    </row>
    <row r="35" spans="1:18" x14ac:dyDescent="0.3">
      <c r="A35" s="3" t="s">
        <v>159</v>
      </c>
      <c r="B35" s="2" t="s">
        <v>160</v>
      </c>
      <c r="C35" s="2" t="s">
        <v>165</v>
      </c>
      <c r="D35" s="2" t="s">
        <v>161</v>
      </c>
      <c r="E35" s="2" t="s">
        <v>39</v>
      </c>
      <c r="F35" s="2" t="s">
        <v>162</v>
      </c>
      <c r="G35" s="3"/>
      <c r="H35" s="2" t="s">
        <v>27</v>
      </c>
      <c r="I35" s="10" t="s">
        <v>18</v>
      </c>
      <c r="J35" s="14">
        <v>2889034</v>
      </c>
      <c r="K35" s="12">
        <v>1</v>
      </c>
      <c r="L35" s="19">
        <f t="shared" si="0"/>
        <v>6</v>
      </c>
      <c r="M35" s="18">
        <v>5</v>
      </c>
      <c r="N35" s="18">
        <f t="shared" si="1"/>
        <v>0</v>
      </c>
      <c r="O35" s="33">
        <v>0.1452</v>
      </c>
      <c r="P35" s="29">
        <f t="shared" si="2"/>
        <v>0</v>
      </c>
      <c r="Q35" s="30" t="s">
        <v>163</v>
      </c>
      <c r="R35" s="3"/>
    </row>
    <row r="36" spans="1:18" x14ac:dyDescent="0.3">
      <c r="A36" s="3" t="s">
        <v>159</v>
      </c>
      <c r="B36" s="2" t="s">
        <v>164</v>
      </c>
      <c r="C36" s="2" t="s">
        <v>166</v>
      </c>
      <c r="D36" s="2" t="s">
        <v>167</v>
      </c>
      <c r="E36" s="2" t="s">
        <v>39</v>
      </c>
      <c r="F36" s="2" t="s">
        <v>168</v>
      </c>
      <c r="G36" s="3"/>
      <c r="H36" s="2" t="s">
        <v>27</v>
      </c>
      <c r="I36" s="10" t="s">
        <v>18</v>
      </c>
      <c r="J36" s="14">
        <v>2889250</v>
      </c>
      <c r="K36" s="12">
        <v>1</v>
      </c>
      <c r="L36" s="19">
        <f t="shared" si="0"/>
        <v>6</v>
      </c>
      <c r="M36" s="18">
        <v>1</v>
      </c>
      <c r="N36" s="18">
        <f t="shared" si="1"/>
        <v>0</v>
      </c>
      <c r="O36" s="33">
        <f>IF(N36&lt;10,0.402,0.2892)</f>
        <v>0.40200000000000002</v>
      </c>
      <c r="P36" s="29">
        <f t="shared" si="2"/>
        <v>0</v>
      </c>
      <c r="Q36" s="30" t="s">
        <v>169</v>
      </c>
      <c r="R36" s="3"/>
    </row>
    <row r="37" spans="1:18" x14ac:dyDescent="0.3">
      <c r="A37" s="3" t="s">
        <v>159</v>
      </c>
      <c r="B37" s="2" t="s">
        <v>170</v>
      </c>
      <c r="C37" s="2" t="s">
        <v>171</v>
      </c>
      <c r="D37" s="2" t="s">
        <v>172</v>
      </c>
      <c r="E37" s="2" t="s">
        <v>56</v>
      </c>
      <c r="F37" s="2" t="s">
        <v>173</v>
      </c>
      <c r="G37" s="3"/>
      <c r="H37" s="2" t="s">
        <v>27</v>
      </c>
      <c r="I37" s="10" t="s">
        <v>18</v>
      </c>
      <c r="J37" s="14">
        <v>1081194</v>
      </c>
      <c r="K37" s="12">
        <v>6</v>
      </c>
      <c r="L37" s="19">
        <f t="shared" si="0"/>
        <v>36</v>
      </c>
      <c r="M37" s="18">
        <v>5</v>
      </c>
      <c r="N37" s="18">
        <f t="shared" si="1"/>
        <v>0</v>
      </c>
      <c r="O37" s="33">
        <v>0.25319999999999998</v>
      </c>
      <c r="P37" s="29">
        <f t="shared" si="2"/>
        <v>0</v>
      </c>
      <c r="Q37" s="30" t="s">
        <v>174</v>
      </c>
      <c r="R37" s="3"/>
    </row>
    <row r="38" spans="1:18" x14ac:dyDescent="0.3">
      <c r="A38" s="3" t="s">
        <v>159</v>
      </c>
      <c r="B38" s="2" t="s">
        <v>175</v>
      </c>
      <c r="C38" s="2"/>
      <c r="D38" s="2" t="s">
        <v>176</v>
      </c>
      <c r="E38" s="2" t="s">
        <v>58</v>
      </c>
      <c r="F38" s="2" t="s">
        <v>38</v>
      </c>
      <c r="G38" s="3"/>
      <c r="H38" s="2" t="s">
        <v>27</v>
      </c>
      <c r="I38" s="10" t="s">
        <v>18</v>
      </c>
      <c r="J38" s="14">
        <v>1058420</v>
      </c>
      <c r="K38" s="12">
        <v>5</v>
      </c>
      <c r="L38" s="19">
        <f t="shared" si="0"/>
        <v>30</v>
      </c>
      <c r="M38" s="18">
        <v>5</v>
      </c>
      <c r="N38" s="18">
        <f t="shared" si="1"/>
        <v>0</v>
      </c>
      <c r="O38" s="34">
        <v>0.7752</v>
      </c>
      <c r="P38" s="29">
        <f t="shared" si="2"/>
        <v>0</v>
      </c>
      <c r="Q38" s="30" t="s">
        <v>177</v>
      </c>
      <c r="R38" s="3"/>
    </row>
    <row r="39" spans="1:18" x14ac:dyDescent="0.3">
      <c r="A39" s="3" t="s">
        <v>183</v>
      </c>
      <c r="B39" s="2" t="s">
        <v>184</v>
      </c>
      <c r="C39" s="2" t="s">
        <v>171</v>
      </c>
      <c r="D39" s="2" t="s">
        <v>185</v>
      </c>
      <c r="E39" s="2"/>
      <c r="F39" s="2" t="s">
        <v>55</v>
      </c>
      <c r="G39" s="3"/>
      <c r="H39" s="2" t="s">
        <v>27</v>
      </c>
      <c r="I39" s="10" t="s">
        <v>18</v>
      </c>
      <c r="J39" s="14">
        <v>2453373</v>
      </c>
      <c r="K39" s="12">
        <v>1</v>
      </c>
      <c r="L39" s="19">
        <f t="shared" si="0"/>
        <v>6</v>
      </c>
      <c r="M39" s="18">
        <v>5</v>
      </c>
      <c r="N39" s="18">
        <f t="shared" si="1"/>
        <v>0</v>
      </c>
      <c r="O39" s="34">
        <v>0.64439999999999997</v>
      </c>
      <c r="P39" s="29">
        <f t="shared" si="2"/>
        <v>0</v>
      </c>
      <c r="Q39" s="30" t="s">
        <v>186</v>
      </c>
      <c r="R39" s="3"/>
    </row>
    <row r="40" spans="1:18" x14ac:dyDescent="0.3">
      <c r="A40" s="3" t="s">
        <v>187</v>
      </c>
      <c r="B40" s="2" t="s">
        <v>193</v>
      </c>
      <c r="C40" s="2" t="s">
        <v>194</v>
      </c>
      <c r="D40" s="2" t="s">
        <v>195</v>
      </c>
      <c r="E40" s="2"/>
      <c r="F40" s="2" t="s">
        <v>235</v>
      </c>
      <c r="G40" s="3"/>
      <c r="H40" s="2" t="s">
        <v>27</v>
      </c>
      <c r="I40" s="10" t="s">
        <v>18</v>
      </c>
      <c r="J40" s="14">
        <v>2512947</v>
      </c>
      <c r="K40" s="12">
        <v>1</v>
      </c>
      <c r="L40" s="19">
        <f t="shared" si="0"/>
        <v>6</v>
      </c>
      <c r="M40" s="18">
        <v>1</v>
      </c>
      <c r="N40" s="18">
        <f t="shared" si="1"/>
        <v>0</v>
      </c>
      <c r="O40" s="34">
        <f>IF(N40&lt;10,7.068,5.472)</f>
        <v>7.0679999999999996</v>
      </c>
      <c r="P40" s="29">
        <f t="shared" si="2"/>
        <v>0</v>
      </c>
      <c r="Q40" s="30" t="s">
        <v>236</v>
      </c>
      <c r="R40" s="3"/>
    </row>
    <row r="41" spans="1:18" x14ac:dyDescent="0.3">
      <c r="A41" s="3" t="s">
        <v>187</v>
      </c>
      <c r="B41" s="2" t="s">
        <v>196</v>
      </c>
      <c r="C41" s="2" t="s">
        <v>197</v>
      </c>
      <c r="D41" s="2" t="s">
        <v>198</v>
      </c>
      <c r="E41" s="2"/>
      <c r="F41" s="2" t="s">
        <v>199</v>
      </c>
      <c r="G41" s="3"/>
      <c r="H41" s="2" t="s">
        <v>27</v>
      </c>
      <c r="I41" s="10" t="s">
        <v>18</v>
      </c>
      <c r="J41" s="14">
        <v>3005134</v>
      </c>
      <c r="K41" s="12">
        <v>6</v>
      </c>
      <c r="L41" s="19">
        <f t="shared" si="0"/>
        <v>36</v>
      </c>
      <c r="M41" s="18">
        <v>1</v>
      </c>
      <c r="N41" s="18">
        <f t="shared" si="1"/>
        <v>0</v>
      </c>
      <c r="O41" s="34">
        <f>IF(N41&lt;10,0.8784,0.6288)</f>
        <v>0.87839999999999996</v>
      </c>
      <c r="P41" s="29">
        <f>N41*O41</f>
        <v>0</v>
      </c>
      <c r="Q41" s="30" t="s">
        <v>200</v>
      </c>
      <c r="R41" s="3"/>
    </row>
    <row r="42" spans="1:18" x14ac:dyDescent="0.3">
      <c r="A42" s="3" t="s">
        <v>187</v>
      </c>
      <c r="B42" s="2" t="s">
        <v>201</v>
      </c>
      <c r="C42" s="2" t="s">
        <v>194</v>
      </c>
      <c r="D42" s="2" t="s">
        <v>202</v>
      </c>
      <c r="E42" s="2"/>
      <c r="F42" s="2" t="s">
        <v>57</v>
      </c>
      <c r="G42" s="3"/>
      <c r="H42" s="2" t="s">
        <v>27</v>
      </c>
      <c r="I42" s="10" t="s">
        <v>18</v>
      </c>
      <c r="J42" s="14">
        <v>9663827</v>
      </c>
      <c r="K42" s="12">
        <v>1</v>
      </c>
      <c r="L42" s="19">
        <f t="shared" si="0"/>
        <v>6</v>
      </c>
      <c r="M42" s="18">
        <v>1</v>
      </c>
      <c r="N42" s="18">
        <f t="shared" si="1"/>
        <v>0</v>
      </c>
      <c r="O42" s="34">
        <f>IF(N42&lt;10,3.036,2.292)</f>
        <v>3.036</v>
      </c>
      <c r="P42" s="29">
        <f>N42*O42</f>
        <v>0</v>
      </c>
      <c r="Q42" s="30" t="s">
        <v>203</v>
      </c>
      <c r="R42" s="3"/>
    </row>
    <row r="43" spans="1:18" x14ac:dyDescent="0.3">
      <c r="A43" s="3" t="s">
        <v>187</v>
      </c>
      <c r="B43" s="2" t="s">
        <v>204</v>
      </c>
      <c r="C43" s="2" t="s">
        <v>205</v>
      </c>
      <c r="D43" s="2" t="s">
        <v>206</v>
      </c>
      <c r="E43" s="2"/>
      <c r="F43" s="35">
        <v>173011235</v>
      </c>
      <c r="G43" s="3"/>
      <c r="H43" s="2"/>
      <c r="I43" s="10" t="s">
        <v>18</v>
      </c>
      <c r="J43" s="14"/>
      <c r="K43" s="12"/>
      <c r="L43" s="19">
        <f t="shared" si="0"/>
        <v>0</v>
      </c>
      <c r="M43" s="18"/>
      <c r="N43" s="18">
        <f t="shared" si="1"/>
        <v>0</v>
      </c>
      <c r="O43" s="34"/>
      <c r="P43" s="29">
        <f t="shared" ref="P43:P46" si="3">N43*O43</f>
        <v>0</v>
      </c>
      <c r="Q43" s="30"/>
      <c r="R43" s="3"/>
    </row>
    <row r="44" spans="1:18" x14ac:dyDescent="0.3">
      <c r="A44" s="3" t="s">
        <v>187</v>
      </c>
      <c r="B44" s="2" t="s">
        <v>208</v>
      </c>
      <c r="C44" s="2" t="s">
        <v>205</v>
      </c>
      <c r="D44" s="2" t="s">
        <v>207</v>
      </c>
      <c r="E44" s="2"/>
      <c r="F44" s="35">
        <v>173010535</v>
      </c>
      <c r="G44" s="3"/>
      <c r="H44" s="2" t="s">
        <v>27</v>
      </c>
      <c r="I44" s="10" t="s">
        <v>18</v>
      </c>
      <c r="J44" s="14">
        <v>4627320</v>
      </c>
      <c r="K44" s="12">
        <v>1</v>
      </c>
      <c r="L44" s="19">
        <f t="shared" si="0"/>
        <v>6</v>
      </c>
      <c r="M44" s="18">
        <v>1</v>
      </c>
      <c r="N44" s="18">
        <f t="shared" si="1"/>
        <v>0</v>
      </c>
      <c r="O44" s="34" cm="1">
        <f t="array" ref="O44">_xlfn.IFS(N44&lt;5,7.164,N44&lt;10,6.972,N44&gt;=10,6.768)</f>
        <v>7.1639999999999997</v>
      </c>
      <c r="P44" s="29">
        <f t="shared" si="3"/>
        <v>0</v>
      </c>
      <c r="Q44" s="30" t="s">
        <v>234</v>
      </c>
      <c r="R44" s="3"/>
    </row>
    <row r="45" spans="1:18" x14ac:dyDescent="0.3">
      <c r="A45" s="3" t="s">
        <v>187</v>
      </c>
      <c r="B45" s="2" t="s">
        <v>209</v>
      </c>
      <c r="C45" s="2" t="s">
        <v>210</v>
      </c>
      <c r="D45" s="2" t="s">
        <v>211</v>
      </c>
      <c r="E45" s="2"/>
      <c r="F45" s="35" t="s">
        <v>212</v>
      </c>
      <c r="G45" s="3"/>
      <c r="H45" s="2" t="s">
        <v>27</v>
      </c>
      <c r="I45" s="10" t="s">
        <v>18</v>
      </c>
      <c r="J45" s="14">
        <v>4028694</v>
      </c>
      <c r="K45" s="12">
        <v>1</v>
      </c>
      <c r="L45" s="19">
        <f t="shared" si="0"/>
        <v>6</v>
      </c>
      <c r="M45" s="18">
        <v>1</v>
      </c>
      <c r="N45" s="18">
        <f t="shared" si="1"/>
        <v>0</v>
      </c>
      <c r="O45" s="34">
        <f>IF(N45&lt;10,7.596,5.892)</f>
        <v>7.5960000000000001</v>
      </c>
      <c r="P45" s="29">
        <f t="shared" si="3"/>
        <v>0</v>
      </c>
      <c r="Q45" s="30" t="s">
        <v>213</v>
      </c>
      <c r="R45" s="3"/>
    </row>
    <row r="46" spans="1:18" x14ac:dyDescent="0.3">
      <c r="A46" s="3" t="s">
        <v>187</v>
      </c>
      <c r="B46" s="2" t="s">
        <v>214</v>
      </c>
      <c r="C46" s="2" t="s">
        <v>210</v>
      </c>
      <c r="D46" s="2" t="s">
        <v>215</v>
      </c>
      <c r="E46" s="2"/>
      <c r="F46" s="35" t="s">
        <v>216</v>
      </c>
      <c r="G46" s="3"/>
      <c r="H46" s="2" t="s">
        <v>27</v>
      </c>
      <c r="I46" s="10" t="s">
        <v>18</v>
      </c>
      <c r="J46" s="14">
        <v>4028692</v>
      </c>
      <c r="K46" s="12">
        <v>4</v>
      </c>
      <c r="L46" s="19">
        <f t="shared" si="0"/>
        <v>24</v>
      </c>
      <c r="M46" s="18">
        <v>1</v>
      </c>
      <c r="N46" s="18">
        <f t="shared" si="1"/>
        <v>0</v>
      </c>
      <c r="O46" s="34" cm="1">
        <f t="array" ref="O46">_xlfn.IFS(N46&lt;10,7.452,N46&lt;25,5.772,N46&gt;=25,5.364)</f>
        <v>7.452</v>
      </c>
      <c r="P46" s="29">
        <f t="shared" si="3"/>
        <v>0</v>
      </c>
      <c r="Q46" s="30" t="s">
        <v>217</v>
      </c>
      <c r="R46" s="3"/>
    </row>
    <row r="47" spans="1:18" x14ac:dyDescent="0.3">
      <c r="A47" s="3" t="s">
        <v>188</v>
      </c>
      <c r="B47" s="2" t="s">
        <v>189</v>
      </c>
      <c r="C47" s="2"/>
      <c r="D47" s="2" t="s">
        <v>190</v>
      </c>
      <c r="E47" s="2"/>
      <c r="F47" s="2" t="s">
        <v>191</v>
      </c>
      <c r="G47" s="3"/>
      <c r="H47" s="2" t="s">
        <v>27</v>
      </c>
      <c r="I47" s="10" t="s">
        <v>18</v>
      </c>
      <c r="J47" s="14">
        <v>3292688</v>
      </c>
      <c r="K47" s="12">
        <v>1</v>
      </c>
      <c r="L47" s="19">
        <f t="shared" si="0"/>
        <v>6</v>
      </c>
      <c r="M47" s="18">
        <v>1</v>
      </c>
      <c r="N47" s="18">
        <f t="shared" si="1"/>
        <v>0</v>
      </c>
      <c r="O47" s="34">
        <f>IF(N47&lt;10,5.352,4.476)</f>
        <v>5.3520000000000003</v>
      </c>
      <c r="P47" s="29">
        <f t="shared" si="2"/>
        <v>0</v>
      </c>
      <c r="Q47" s="30" t="s">
        <v>192</v>
      </c>
      <c r="R47" s="3"/>
    </row>
    <row r="48" spans="1:18" x14ac:dyDescent="0.3">
      <c r="A48" s="3" t="s">
        <v>218</v>
      </c>
      <c r="B48" s="2" t="s">
        <v>219</v>
      </c>
      <c r="C48" s="2"/>
      <c r="D48" s="2" t="s">
        <v>220</v>
      </c>
      <c r="E48" s="2"/>
      <c r="F48" s="2" t="s">
        <v>53</v>
      </c>
      <c r="G48" s="3"/>
      <c r="H48" s="2" t="s">
        <v>27</v>
      </c>
      <c r="I48" s="10" t="s">
        <v>18</v>
      </c>
      <c r="J48" s="14">
        <v>2469525</v>
      </c>
      <c r="K48" s="12">
        <v>1</v>
      </c>
      <c r="L48" s="19">
        <f t="shared" si="0"/>
        <v>6</v>
      </c>
      <c r="M48" s="18">
        <v>1</v>
      </c>
      <c r="N48" s="18">
        <f t="shared" si="1"/>
        <v>0</v>
      </c>
      <c r="O48" s="34" cm="1">
        <f t="array" ref="O48">_xlfn.IFS(N48&lt;5,0.852,N48&lt;10,0.7344,N48&gt;=10,0.69)</f>
        <v>0.85199999999999998</v>
      </c>
      <c r="P48" s="29">
        <f t="shared" si="2"/>
        <v>0</v>
      </c>
      <c r="Q48" s="30" t="s">
        <v>221</v>
      </c>
      <c r="R48" s="3"/>
    </row>
    <row r="49" spans="1:18" x14ac:dyDescent="0.3">
      <c r="A49" s="3" t="s">
        <v>226</v>
      </c>
      <c r="B49" s="2" t="s">
        <v>227</v>
      </c>
      <c r="C49" s="2"/>
      <c r="D49" s="2" t="s">
        <v>228</v>
      </c>
      <c r="E49" s="2"/>
      <c r="F49" s="2" t="s">
        <v>229</v>
      </c>
      <c r="G49" s="3"/>
      <c r="H49" s="2" t="s">
        <v>27</v>
      </c>
      <c r="I49" s="10" t="s">
        <v>18</v>
      </c>
      <c r="J49" s="14">
        <v>2381866</v>
      </c>
      <c r="K49" s="12">
        <v>1</v>
      </c>
      <c r="L49" s="19">
        <f t="shared" si="0"/>
        <v>6</v>
      </c>
      <c r="M49" s="18">
        <v>1</v>
      </c>
      <c r="N49" s="18">
        <f>IF(I49&lt;&gt;"√",CEILING(L49,M49),0)</f>
        <v>0</v>
      </c>
      <c r="O49" s="34">
        <f>IF(N49&lt;10,2.076,1.86)</f>
        <v>2.0760000000000001</v>
      </c>
      <c r="P49" s="29">
        <f>N49*O49</f>
        <v>0</v>
      </c>
      <c r="Q49" s="30" t="s">
        <v>230</v>
      </c>
      <c r="R49" s="3"/>
    </row>
    <row r="50" spans="1:18" x14ac:dyDescent="0.3">
      <c r="A50" s="3"/>
      <c r="B50" s="3"/>
      <c r="C50" s="3"/>
      <c r="D50" s="2"/>
      <c r="E50" s="2" t="s">
        <v>39</v>
      </c>
      <c r="F50" s="2"/>
      <c r="G50" s="3"/>
      <c r="H50" s="2"/>
      <c r="I50" s="10"/>
      <c r="J50" s="16"/>
      <c r="K50" s="8"/>
      <c r="L50" s="19">
        <f t="shared" si="0"/>
        <v>0</v>
      </c>
      <c r="M50" s="18"/>
      <c r="N50" s="18">
        <f t="shared" si="1"/>
        <v>0</v>
      </c>
      <c r="O50" s="34"/>
      <c r="P50" s="29">
        <f t="shared" si="2"/>
        <v>0</v>
      </c>
      <c r="Q50" s="30"/>
      <c r="R50" s="3"/>
    </row>
    <row r="51" spans="1:18" ht="18" x14ac:dyDescent="0.35">
      <c r="O51" s="27" t="s">
        <v>19</v>
      </c>
      <c r="P51" s="23">
        <f>SUM(P3:P50)</f>
        <v>0.81100000000000005</v>
      </c>
      <c r="Q51" s="22"/>
    </row>
    <row r="52" spans="1:18" x14ac:dyDescent="0.3">
      <c r="Q52" s="22"/>
    </row>
    <row r="53" spans="1:18" x14ac:dyDescent="0.3">
      <c r="Q53" s="22"/>
    </row>
    <row r="54" spans="1:18" x14ac:dyDescent="0.3">
      <c r="Q54" s="22"/>
    </row>
    <row r="55" spans="1:18" x14ac:dyDescent="0.3">
      <c r="Q55" s="22"/>
    </row>
    <row r="56" spans="1:18" x14ac:dyDescent="0.3">
      <c r="Q56" s="22"/>
    </row>
    <row r="57" spans="1:18" x14ac:dyDescent="0.3">
      <c r="Q57" s="22"/>
    </row>
    <row r="58" spans="1:18" x14ac:dyDescent="0.3">
      <c r="Q58" s="22"/>
    </row>
    <row r="59" spans="1:18" x14ac:dyDescent="0.3">
      <c r="Q59" s="22"/>
    </row>
    <row r="60" spans="1:18" x14ac:dyDescent="0.3">
      <c r="Q60" s="22"/>
    </row>
    <row r="61" spans="1:18" x14ac:dyDescent="0.3">
      <c r="Q61" s="22"/>
    </row>
    <row r="62" spans="1:18" x14ac:dyDescent="0.3">
      <c r="D62" t="s">
        <v>20</v>
      </c>
      <c r="Q62" s="22"/>
    </row>
    <row r="63" spans="1:18" x14ac:dyDescent="0.3">
      <c r="D63" s="6" t="s">
        <v>18</v>
      </c>
      <c r="Q63" s="22"/>
    </row>
    <row r="64" spans="1:18" x14ac:dyDescent="0.3">
      <c r="D64" s="5" t="s">
        <v>21</v>
      </c>
      <c r="Q64" s="22"/>
    </row>
    <row r="78" spans="19:19" ht="36.75" customHeight="1" x14ac:dyDescent="0.3">
      <c r="S78" t="s">
        <v>22</v>
      </c>
    </row>
    <row r="81" spans="19:19" x14ac:dyDescent="0.3">
      <c r="S81" t="s">
        <v>23</v>
      </c>
    </row>
    <row r="82" spans="19:19" x14ac:dyDescent="0.3">
      <c r="S82">
        <f>SUM(T3)</f>
        <v>6</v>
      </c>
    </row>
    <row r="83" spans="19:19" x14ac:dyDescent="0.3">
      <c r="S83">
        <f>SUM(T3)</f>
        <v>6</v>
      </c>
    </row>
    <row r="84" spans="19:19" x14ac:dyDescent="0.3">
      <c r="S84">
        <f>SUM(T3)</f>
        <v>6</v>
      </c>
    </row>
    <row r="85" spans="19:19" x14ac:dyDescent="0.3">
      <c r="S85">
        <f>SUM(T3)</f>
        <v>6</v>
      </c>
    </row>
    <row r="86" spans="19:19" x14ac:dyDescent="0.3">
      <c r="S86">
        <f>SUM(T3)</f>
        <v>6</v>
      </c>
    </row>
    <row r="87" spans="19:19" x14ac:dyDescent="0.3">
      <c r="S87">
        <f>SUM(T3)</f>
        <v>6</v>
      </c>
    </row>
    <row r="88" spans="19:19" x14ac:dyDescent="0.3">
      <c r="S88">
        <f>SUM(T3)</f>
        <v>6</v>
      </c>
    </row>
    <row r="89" spans="19:19" x14ac:dyDescent="0.3">
      <c r="S89">
        <f>SUM(T3)</f>
        <v>6</v>
      </c>
    </row>
    <row r="90" spans="19:19" x14ac:dyDescent="0.3">
      <c r="S90">
        <f>SUM(T3)</f>
        <v>6</v>
      </c>
    </row>
    <row r="91" spans="19:19" x14ac:dyDescent="0.3">
      <c r="S91">
        <f>SUM(T3)</f>
        <v>6</v>
      </c>
    </row>
    <row r="92" spans="19:19" x14ac:dyDescent="0.3">
      <c r="S92">
        <f>SUM(T3)</f>
        <v>6</v>
      </c>
    </row>
    <row r="93" spans="19:19" x14ac:dyDescent="0.3">
      <c r="S93">
        <f>SUM(T3)</f>
        <v>6</v>
      </c>
    </row>
    <row r="94" spans="19:19" x14ac:dyDescent="0.3">
      <c r="S94">
        <f>SUM(T3)</f>
        <v>6</v>
      </c>
    </row>
    <row r="95" spans="19:19" x14ac:dyDescent="0.3">
      <c r="S95">
        <f>SUM(T3)</f>
        <v>6</v>
      </c>
    </row>
    <row r="96" spans="19:19" x14ac:dyDescent="0.3">
      <c r="S96">
        <f>SUM(T3)</f>
        <v>6</v>
      </c>
    </row>
    <row r="97" spans="19:19" x14ac:dyDescent="0.3">
      <c r="S97">
        <f>SUM(T3)</f>
        <v>6</v>
      </c>
    </row>
    <row r="98" spans="19:19" x14ac:dyDescent="0.3">
      <c r="S98">
        <f>SUM(T3)</f>
        <v>6</v>
      </c>
    </row>
    <row r="99" spans="19:19" x14ac:dyDescent="0.3">
      <c r="S99">
        <f>SUM(T3)</f>
        <v>6</v>
      </c>
    </row>
    <row r="100" spans="19:19" x14ac:dyDescent="0.3">
      <c r="S100">
        <f>SUM(T3)</f>
        <v>6</v>
      </c>
    </row>
    <row r="101" spans="19:19" x14ac:dyDescent="0.3">
      <c r="S101">
        <f>SUM(T3)</f>
        <v>6</v>
      </c>
    </row>
    <row r="102" spans="19:19" x14ac:dyDescent="0.3">
      <c r="S102">
        <f>SUM(T3)</f>
        <v>6</v>
      </c>
    </row>
    <row r="103" spans="19:19" x14ac:dyDescent="0.3">
      <c r="S103">
        <f>SUM(T3)</f>
        <v>6</v>
      </c>
    </row>
    <row r="104" spans="19:19" x14ac:dyDescent="0.3">
      <c r="S104">
        <f>SUM(T3)</f>
        <v>6</v>
      </c>
    </row>
    <row r="105" spans="19:19" x14ac:dyDescent="0.3">
      <c r="S105">
        <f>SUM(T3)</f>
        <v>6</v>
      </c>
    </row>
    <row r="106" spans="19:19" x14ac:dyDescent="0.3">
      <c r="S106">
        <f>SUM(T3)</f>
        <v>6</v>
      </c>
    </row>
    <row r="107" spans="19:19" x14ac:dyDescent="0.3">
      <c r="S107">
        <f>SUM(T3)</f>
        <v>6</v>
      </c>
    </row>
    <row r="108" spans="19:19" x14ac:dyDescent="0.3">
      <c r="S108">
        <f>SUM(T3)</f>
        <v>6</v>
      </c>
    </row>
    <row r="109" spans="19:19" x14ac:dyDescent="0.3">
      <c r="S109">
        <f>SUM(T3)</f>
        <v>6</v>
      </c>
    </row>
    <row r="110" spans="19:19" x14ac:dyDescent="0.3">
      <c r="S110">
        <f>SUM(T3)</f>
        <v>6</v>
      </c>
    </row>
    <row r="111" spans="19:19" x14ac:dyDescent="0.3">
      <c r="S111">
        <f>SUM(T3)</f>
        <v>6</v>
      </c>
    </row>
    <row r="112" spans="19:19" x14ac:dyDescent="0.3">
      <c r="S112">
        <f>SUM(T3)</f>
        <v>6</v>
      </c>
    </row>
    <row r="113" spans="19:19" x14ac:dyDescent="0.3">
      <c r="S113">
        <f>SUM(T3)</f>
        <v>6</v>
      </c>
    </row>
    <row r="114" spans="19:19" x14ac:dyDescent="0.3">
      <c r="S114">
        <f>SUM(T3)</f>
        <v>6</v>
      </c>
    </row>
    <row r="115" spans="19:19" x14ac:dyDescent="0.3">
      <c r="S115">
        <f>SUM(T3)</f>
        <v>6</v>
      </c>
    </row>
    <row r="116" spans="19:19" x14ac:dyDescent="0.3">
      <c r="S116">
        <f>SUM(T3)</f>
        <v>6</v>
      </c>
    </row>
    <row r="117" spans="19:19" x14ac:dyDescent="0.3">
      <c r="S117">
        <f>SUM(T3)</f>
        <v>6</v>
      </c>
    </row>
    <row r="118" spans="19:19" x14ac:dyDescent="0.3">
      <c r="S118">
        <f>SUM(T3)</f>
        <v>6</v>
      </c>
    </row>
    <row r="119" spans="19:19" x14ac:dyDescent="0.3">
      <c r="S119">
        <f>SUM(T3)</f>
        <v>6</v>
      </c>
    </row>
    <row r="120" spans="19:19" x14ac:dyDescent="0.3">
      <c r="S120">
        <f>SUM(T3)</f>
        <v>6</v>
      </c>
    </row>
    <row r="121" spans="19:19" x14ac:dyDescent="0.3">
      <c r="S121">
        <f>SUM(T3)</f>
        <v>6</v>
      </c>
    </row>
    <row r="122" spans="19:19" x14ac:dyDescent="0.3">
      <c r="S122">
        <f>SUM(T3)</f>
        <v>6</v>
      </c>
    </row>
    <row r="123" spans="19:19" x14ac:dyDescent="0.3">
      <c r="S123">
        <f>SUM(T3)</f>
        <v>6</v>
      </c>
    </row>
    <row r="124" spans="19:19" x14ac:dyDescent="0.3">
      <c r="S124">
        <f>SUM(T3)</f>
        <v>6</v>
      </c>
    </row>
    <row r="125" spans="19:19" x14ac:dyDescent="0.3">
      <c r="S125">
        <f>SUM(T3)</f>
        <v>6</v>
      </c>
    </row>
    <row r="126" spans="19:19" x14ac:dyDescent="0.3">
      <c r="S126">
        <f>SUM(T3)</f>
        <v>6</v>
      </c>
    </row>
    <row r="127" spans="19:19" x14ac:dyDescent="0.3">
      <c r="S127">
        <f>SUM(T3)</f>
        <v>6</v>
      </c>
    </row>
    <row r="128" spans="19:19" x14ac:dyDescent="0.3">
      <c r="S128">
        <f>SUM(T3)</f>
        <v>6</v>
      </c>
    </row>
    <row r="129" spans="19:19" x14ac:dyDescent="0.3">
      <c r="S129">
        <f>SUM(T3)</f>
        <v>6</v>
      </c>
    </row>
    <row r="130" spans="19:19" x14ac:dyDescent="0.3">
      <c r="S130">
        <f>SUM(T3)</f>
        <v>6</v>
      </c>
    </row>
    <row r="131" spans="19:19" x14ac:dyDescent="0.3">
      <c r="S131">
        <f>SUM(T3)</f>
        <v>6</v>
      </c>
    </row>
    <row r="132" spans="19:19" x14ac:dyDescent="0.3">
      <c r="S132">
        <f>SUM(T3)</f>
        <v>6</v>
      </c>
    </row>
    <row r="133" spans="19:19" x14ac:dyDescent="0.3">
      <c r="S133">
        <f>SUM(T3)</f>
        <v>6</v>
      </c>
    </row>
    <row r="134" spans="19:19" x14ac:dyDescent="0.3">
      <c r="S134">
        <f>SUM(T3)</f>
        <v>6</v>
      </c>
    </row>
    <row r="135" spans="19:19" x14ac:dyDescent="0.3">
      <c r="S135">
        <f>SUM(T3)</f>
        <v>6</v>
      </c>
    </row>
    <row r="136" spans="19:19" x14ac:dyDescent="0.3">
      <c r="S136">
        <f>SUM(T3)</f>
        <v>6</v>
      </c>
    </row>
    <row r="137" spans="19:19" x14ac:dyDescent="0.3">
      <c r="S137">
        <f>SUM(T3)</f>
        <v>6</v>
      </c>
    </row>
    <row r="138" spans="19:19" x14ac:dyDescent="0.3">
      <c r="S138">
        <f>SUM(T3)</f>
        <v>6</v>
      </c>
    </row>
    <row r="139" spans="19:19" x14ac:dyDescent="0.3">
      <c r="S139">
        <f>SUM(T3)</f>
        <v>6</v>
      </c>
    </row>
    <row r="140" spans="19:19" x14ac:dyDescent="0.3">
      <c r="S140">
        <f>SUM(T3)</f>
        <v>6</v>
      </c>
    </row>
    <row r="141" spans="19:19" x14ac:dyDescent="0.3">
      <c r="S141">
        <f>SUM(T3)</f>
        <v>6</v>
      </c>
    </row>
    <row r="142" spans="19:19" x14ac:dyDescent="0.3">
      <c r="S142">
        <f>SUM(T3)</f>
        <v>6</v>
      </c>
    </row>
    <row r="143" spans="19:19" x14ac:dyDescent="0.3">
      <c r="S143">
        <f>SUM(T3)</f>
        <v>6</v>
      </c>
    </row>
    <row r="144" spans="19:19" x14ac:dyDescent="0.3">
      <c r="S144">
        <f>SUM(T3)</f>
        <v>6</v>
      </c>
    </row>
    <row r="145" spans="19:19" x14ac:dyDescent="0.3">
      <c r="S145">
        <f>SUM(T3)</f>
        <v>6</v>
      </c>
    </row>
    <row r="146" spans="19:19" x14ac:dyDescent="0.3">
      <c r="S146">
        <f>SUM(T3)</f>
        <v>6</v>
      </c>
    </row>
    <row r="147" spans="19:19" x14ac:dyDescent="0.3">
      <c r="S147">
        <f>SUM(T3)</f>
        <v>6</v>
      </c>
    </row>
    <row r="148" spans="19:19" x14ac:dyDescent="0.3">
      <c r="S148">
        <f>SUM(T3)</f>
        <v>6</v>
      </c>
    </row>
    <row r="149" spans="19:19" x14ac:dyDescent="0.3">
      <c r="S149">
        <f>SUM(T3)</f>
        <v>6</v>
      </c>
    </row>
    <row r="150" spans="19:19" x14ac:dyDescent="0.3">
      <c r="S150">
        <f>SUM(T3)</f>
        <v>6</v>
      </c>
    </row>
    <row r="151" spans="19:19" x14ac:dyDescent="0.3">
      <c r="S151">
        <f>SUM(T3)</f>
        <v>6</v>
      </c>
    </row>
    <row r="152" spans="19:19" x14ac:dyDescent="0.3">
      <c r="S152">
        <f>SUM(T3)</f>
        <v>6</v>
      </c>
    </row>
    <row r="153" spans="19:19" x14ac:dyDescent="0.3">
      <c r="S153">
        <f>SUM(T3)</f>
        <v>6</v>
      </c>
    </row>
    <row r="154" spans="19:19" x14ac:dyDescent="0.3">
      <c r="S154">
        <f>SUM(T3)</f>
        <v>6</v>
      </c>
    </row>
    <row r="155" spans="19:19" x14ac:dyDescent="0.3">
      <c r="S155">
        <f>SUM(T3)</f>
        <v>6</v>
      </c>
    </row>
    <row r="156" spans="19:19" x14ac:dyDescent="0.3">
      <c r="S156">
        <f>SUM(T3)</f>
        <v>6</v>
      </c>
    </row>
  </sheetData>
  <phoneticPr fontId="28" type="noConversion"/>
  <conditionalFormatting sqref="I3:I50">
    <cfRule type="containsText" dxfId="3" priority="10" operator="containsText" text="X">
      <formula>NOT(ISERROR(SEARCH("X",I3)))</formula>
    </cfRule>
    <cfRule type="cellIs" dxfId="2" priority="11" operator="equal">
      <formula>"√"</formula>
    </cfRule>
  </conditionalFormatting>
  <conditionalFormatting sqref="P3:P50">
    <cfRule type="colorScale" priority="22">
      <colorScale>
        <cfvo type="min"/>
        <cfvo type="percentile" val="50"/>
        <cfvo type="max"/>
        <color rgb="FF63BE7B"/>
        <color rgb="FFFFEB84"/>
        <color rgb="FFF8696B"/>
      </colorScale>
    </cfRule>
    <cfRule type="colorScale" priority="23">
      <colorScale>
        <cfvo type="min"/>
        <cfvo type="percentile" val="50"/>
        <cfvo type="max"/>
        <color rgb="FFF8696B"/>
        <color rgb="FFFFEB84"/>
        <color rgb="FF63BE7B"/>
      </colorScale>
    </cfRule>
  </conditionalFormatting>
  <conditionalFormatting sqref="R3:R50">
    <cfRule type="cellIs" dxfId="1" priority="26" operator="equal">
      <formula>$D$64</formula>
    </cfRule>
    <cfRule type="cellIs" dxfId="0" priority="27" operator="equal">
      <formula>$D$63</formula>
    </cfRule>
  </conditionalFormatting>
  <dataValidations count="2">
    <dataValidation type="list" allowBlank="1" showInputMessage="1" showErrorMessage="1" errorTitle="Pick either Y or N" promptTitle="Stock_available_Y_N" sqref="I3:I50" xr:uid="{0B25667A-4371-4144-BFC0-AA566068B6A7}">
      <formula1>$D$63:$D$64</formula1>
    </dataValidation>
    <dataValidation type="list" allowBlank="1" showInputMessage="1" showErrorMessage="1" sqref="R2:R50" xr:uid="{51590C1C-1E1F-4E3F-9835-87E87738B13E}">
      <formula1>$D$63:$D$64</formula1>
    </dataValidation>
  </dataValidations>
  <hyperlinks>
    <hyperlink ref="Q3" r:id="rId1" display="https://uk.farnell.com/cliff-electronic-components/fc68125/connector-phono-3-5mm-jack-4pole/dp/2309468" xr:uid="{48B1865C-E0A0-49D7-9739-9F18080B89D1}"/>
    <hyperlink ref="Q6" r:id="rId2" display="https://uk.farnell.com/buchanan-te-connectivity/282834-2/terminal-block-wire-to-brd-2pos/dp/2112482" xr:uid="{27B4B1DF-6A7F-4A21-925E-940420B763D0}"/>
    <hyperlink ref="Q5" r:id="rId3" display="https://uk.farnell.com/multicomp-pro/2214s-10sg-85/socket-pcb-2-row-vert-10way/dp/1593490" xr:uid="{73437D26-7DE9-450D-AE50-FF8AA3BF7600}"/>
    <hyperlink ref="Q4" r:id="rId4" display="https://uk.rs-online.com/web/p/coaxial-connectors/7100466?gb=s" xr:uid="{D4601A25-67D7-4E3B-BED2-84013E44AAD9}"/>
    <hyperlink ref="Q9" r:id="rId5" display="https://uk.farnell.com/multicomp-pro/mcwr06x4300ftl/res-430r-1-0-1w-thick-film/dp/2447371" xr:uid="{8D8B0FE0-AAA1-4EAD-8548-BA31F4C17150}"/>
    <hyperlink ref="Q11" r:id="rId6" display="https://uk.farnell.com/multicomp-pro/mcwr06x1004ftl/res-1m-1-0-1w-0603-thick-film/dp/2447285" xr:uid="{081CB83D-C2A5-4E0C-A146-0134C07415C1}"/>
    <hyperlink ref="Q12" r:id="rId7" display="https://uk.farnell.com/multicomp-pro/mcwr06x2201ftl/res-2k2-1-0-1w-0603-thick-film/dp/2447320" xr:uid="{34CA8D30-B193-4B76-A5AC-7FAD7ACBEBBB}"/>
    <hyperlink ref="Q15" r:id="rId8" display="https://uk.farnell.com/multicomp-pro/mcwr06x1503ftl/res-150k-1-0-1w-thick-film/dp/2447254" xr:uid="{186D91E6-375F-4A04-B544-B68DC53D3F0E}"/>
    <hyperlink ref="Q16" r:id="rId9" display="https://uk.farnell.com/multicomp-pro/mcwr06x2202ftl/res-22k-1-0-1w-0603-thick-film/dp/2447299" xr:uid="{5AD4F9D4-BDBE-47E7-B960-11DE69837C4A}"/>
    <hyperlink ref="Q17" r:id="rId10" display="https://uk.farnell.com/multicomp-pro/mcwr06x3602ftl/res-36k-1-0-1w-thick-film/dp/2447349" xr:uid="{37DC217B-80E5-46B8-A3DD-406F303967BF}"/>
    <hyperlink ref="Q18" r:id="rId11" display="https://uk.farnell.com/multicomp-pro/mcwr06x4302ftl/res-43k-1-0-1w-thick-film/dp/2447372?MER=sy-me-pd-mi-alte" xr:uid="{08761EFB-9F58-48AD-B417-05794E4BCB04}"/>
    <hyperlink ref="Q19" r:id="rId12" display="https://uk.farnell.com/multicomp-pro/mcwr06x1001ftl/res-1k-1-0-1w-0603-thick-film/dp/2447272" xr:uid="{86482B6F-29D8-4CE4-A550-E54B5DB03E35}"/>
    <hyperlink ref="Q20" r:id="rId13" display="https://uk.farnell.com/multicomp-pro/mcwr06x4702ftl/res-47k-1-0-1w-0603-thick-film/dp/2447376" xr:uid="{AD9E46AA-B2B5-4783-B8B8-57E382A29447}"/>
    <hyperlink ref="Q22" r:id="rId14" display="https://uk.farnell.com/multicomp-pro/mcwr06x1200ftl/res-120r-1-0-1w-thick-film/dp/2447240" xr:uid="{E3583A16-E7EC-4601-BEDA-214F195EF766}"/>
    <hyperlink ref="Q23" r:id="rId15" display="https://uk.farnell.com/multicomp-pro/mcwr06x2002ftl/res-20k-1-0-1w-0603-thick-film/dp/2447293" xr:uid="{0C049996-5EDB-4F78-9C76-F1076D26E9D7}"/>
    <hyperlink ref="Q24" r:id="rId16" display="https://uk.farnell.com/multicomp-pro/mcwr06x3902ftl/res-39k-1-0-1w-thick-film/dp/2447354" xr:uid="{FDC4AA31-2D10-4828-A155-B92B9F743BC5}"/>
    <hyperlink ref="Q10" r:id="rId17" display="https://uk.farnell.com/multicomp-pro/mcwr06x1002ftl/res-10k-1-0-1w-0603-thick-film/dp/2447230" xr:uid="{96696BCF-9462-463F-9318-4C9D9516056A}"/>
    <hyperlink ref="Q28" r:id="rId18" display="https://uk.farnell.com/samsung-electro-mechanics/cl10b105ka8nnnc/cap-1uf-25v-mlcc-0603/dp/3013415" xr:uid="{764A6A40-D1DA-4438-B72C-172025A66C21}"/>
    <hyperlink ref="Q29" r:id="rId19" display="https://uk.farnell.com/samsung-electro-mechanics/cl21a226maynnne/capacitor-mlcc-22uf-x7r-25v-0805/dp/4539343" xr:uid="{FF2EC319-C033-49BF-984D-5D4AC9918D92}"/>
    <hyperlink ref="Q30" r:id="rId20" display="https://uk.farnell.com/murata/grm31c5c1h104ja01l/cap-0-1-f-50v-5-c0g-np0-1206/dp/2494294" xr:uid="{449D1117-E6A4-4FA6-9F16-2E3F4D6E7D95}"/>
    <hyperlink ref="Q31" r:id="rId21" display="https://uk.farnell.com/murata/grm1885c1h103ja01d/cap-0-01-f-50v-5-c0g-np0-0603/dp/2456107" xr:uid="{35D31ACE-3E24-473D-8146-646EBA694240}"/>
    <hyperlink ref="Q32" r:id="rId22" display="https://uk.farnell.com/murata/grm31cr60j107mea8k/cap-100uf-6-3v-1206-x5r/dp/4128563" xr:uid="{7C342E73-2281-41FF-80BA-1FEC57A24495}"/>
    <hyperlink ref="Q33" r:id="rId23" display="https://uk.farnell.com/multicomp-pro/mc0603n220j500ct/cap-22pf-50v-5-c0g-np0-0603/dp/1759057" xr:uid="{71E26DB3-E8B8-440C-B19B-CDC7B62211F2}"/>
    <hyperlink ref="Q27" r:id="rId24" display="https://uk.farnell.com/samsung-electro-mechanics/cl10b104kb8nnnl/cap-mlcc-0-1uf-50vdc-x7r-0603/dp/4695928" xr:uid="{284A7804-A20A-4F1A-9214-E1F6E2CBF10D}"/>
    <hyperlink ref="Q35" r:id="rId25" display="https://uk.farnell.com/vishay/s1j-e3-61t/rectifier-single-1a-600v-do-214ac/dp/2889034" xr:uid="{E6C8CC16-2817-4BB8-8D2F-46FC7C156E68}"/>
    <hyperlink ref="Q36" r:id="rId26" display="https://uk.farnell.com/vishay/ssc54-e3-57t/schottky-rect-single-40v-do-214ab/dp/2889250" xr:uid="{2463039B-8001-433C-9755-76A565E2D936}"/>
    <hyperlink ref="Q37" r:id="rId27" display="https://uk.farnell.com/nexperia/bat54s-215/diode-schoty-dual-30v-0-2a-sot23/dp/1081194" xr:uid="{1833AE79-D9A2-4250-A9E9-D97947560619}"/>
    <hyperlink ref="Q38" r:id="rId28" display="https://uk.farnell.com/broadcom/hsmf-a201-a00j1/led-smd-plcc4-red-grn/dp/1058420?CMP=KNC-MUK-GEN-SKU&amp;msclkid=14ef619dd2301c6a874f08fb99ac31f5" xr:uid="{1E56BDFC-0886-4F4E-A90D-7010E234B92C}"/>
    <hyperlink ref="Q34" r:id="rId29" display="https://uk.farnell.com/panasonic/eeufr1j470/cap-47-f-63v-20/dp/2760347" xr:uid="{8BDA8A23-B242-4F85-AC9D-07812168545B}"/>
    <hyperlink ref="Q39" r:id="rId30" display="https://uk.farnell.com/on-semiconductor/mmbfj108/jfet-n-channel-25v-sot-23/dp/2453373" xr:uid="{A0002135-6FA6-42FD-BF25-6E42B71341F7}"/>
    <hyperlink ref="Q47" r:id="rId31" display="https://uk.farnell.com/e-switch/500assp1sm6qe/slide-switch-spdt-3a-28vdc-smd/dp/3292688" xr:uid="{DBC57B48-75BE-4339-B161-84DF83E0E7E5}"/>
    <hyperlink ref="Q41" r:id="rId32" display="https://uk.farnell.com/texas-instruments/tl082acdr/op-amp-dual-jfetinput-smd-soic8/dp/3005134" xr:uid="{9F47D3CE-53CC-4072-A370-8260237B46B3}"/>
    <hyperlink ref="Q42" r:id="rId33" display="https://uk.farnell.com/renesas/dg408dyz/8ch-analog-mux-smd-soic16-408/dp/9663827?MER=BR-MER-PDP-RECO-STM72194" xr:uid="{AF700687-5178-478F-B34E-F7CAD5C8A43B}"/>
    <hyperlink ref="Q45" r:id="rId34" display="https://uk.farnell.com/analog-devices/ad5293bruz-20-rl7/digital-potentiometer-single-tssop/dp/4028694" xr:uid="{BFF55997-9BED-4A6E-9A40-231466874EC3}"/>
    <hyperlink ref="Q46" r:id="rId35" display="https://uk.farnell.com/analog-devices/ad5293bruz-100-rl7/digital-potentiometer-single-tssop/dp/4028692" xr:uid="{559E3CDD-2121-483F-BDE9-EDA890D4C9AE}"/>
    <hyperlink ref="Q48" r:id="rId36" display="https://uk.farnell.com/bourns/ptv09a-4020f-b104/pot-rotary-100kohm-9mm-20/dp/2469525" xr:uid="{E968974E-B971-4C4B-BAF2-2CCAD5334F69}"/>
    <hyperlink ref="Q7" r:id="rId37" display="https://uk.farnell.com/cliff-electronic-components/fc681465p/dc-skt-dual-2-1-2-5mm-pcb-dc10lp/dp/1854512" xr:uid="{CBB57EE8-C35A-4CDA-ADAB-03D2F3849DBC}"/>
    <hyperlink ref="Q49" r:id="rId38" display="https://uk.farnell.com/bourns/pec11r-4225f-s0024/encoder-incremental-2ch-60rpm/dp/2381866" xr:uid="{EED25FE6-78EC-475C-8360-D86908B0A79E}"/>
    <hyperlink ref="Q25" r:id="rId39" display="https://uk.farnell.com/koa/rk73z1jttd/res-jumper-2a-thick-film-0603/dp/4009217" xr:uid="{ED4D96D4-F74B-4184-82AF-55E9EACBC8C9}"/>
    <hyperlink ref="Q44" r:id="rId40" display="https://uk.farnell.com/wurth-elektronik/173010535/dc-dc-converter-5v-1a/dp/4627320" xr:uid="{50500923-64A5-401D-8452-12222F9B274D}"/>
    <hyperlink ref="Q40" r:id="rId41" display="https://uk.farnell.com/analog-devices/dg412dy/analogue-switch-quad-nsoic-16/dp/2512947" xr:uid="{614ACB48-7445-413F-A5A8-B54BD381780C}"/>
    <hyperlink ref="Q26" r:id="rId42" display="https://uk.farnell.com/kemet/c0603c103k5racauto/cap-0-01-f-50v-10-x7r-0603/dp/2070396?MER=sy-me-pd-mi-alte" xr:uid="{EBC8E1FC-8FFE-431B-BFCB-4ECBEAA70EBC}"/>
    <hyperlink ref="Q13" r:id="rId43" display="https://uk.farnell.com/multicomp-pro/mcwr06x4701ftl/res-4k7-1-0-1w-0603-thick-film/dp/2447385" xr:uid="{FCB19628-D4F3-4209-9ADB-6C2890FEE9D6}"/>
  </hyperlinks>
  <pageMargins left="0.25" right="0.25" top="0.75" bottom="0.75" header="0.3" footer="0.3"/>
  <pageSetup paperSize="9" scale="38" orientation="portrait" r:id="rId44"/>
  <legacyDrawing r:id="rId45"/>
  <tableParts count="2">
    <tablePart r:id="rId46"/>
    <tablePart r:id="rId4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DE475-47A5-4A1C-906F-47DB00D174BB}">
  <sheetPr>
    <pageSetUpPr fitToPage="1"/>
  </sheetPr>
  <dimension ref="B4:G51"/>
  <sheetViews>
    <sheetView workbookViewId="0">
      <selection activeCell="O29" sqref="O29"/>
    </sheetView>
  </sheetViews>
  <sheetFormatPr defaultRowHeight="14.4" x14ac:dyDescent="0.3"/>
  <cols>
    <col min="2" max="2" width="11.44140625" customWidth="1"/>
    <col min="3" max="3" width="33.109375" customWidth="1"/>
    <col min="5" max="5" width="22.77734375" customWidth="1"/>
    <col min="7" max="7" width="20.6640625" customWidth="1"/>
  </cols>
  <sheetData>
    <row r="4" spans="2:7" ht="28.8" x14ac:dyDescent="0.3">
      <c r="B4" s="9" t="s">
        <v>0</v>
      </c>
      <c r="C4" s="9" t="s">
        <v>1</v>
      </c>
      <c r="D4" s="9" t="s">
        <v>136</v>
      </c>
      <c r="E4" s="9" t="s">
        <v>2</v>
      </c>
      <c r="F4" s="25" t="s">
        <v>9</v>
      </c>
      <c r="G4" s="9" t="s">
        <v>4</v>
      </c>
    </row>
    <row r="5" spans="2:7" x14ac:dyDescent="0.3">
      <c r="B5" s="3" t="s">
        <v>24</v>
      </c>
      <c r="C5" t="s">
        <v>244</v>
      </c>
      <c r="D5" s="2"/>
      <c r="E5" s="2" t="s">
        <v>26</v>
      </c>
      <c r="F5" s="36">
        <v>1</v>
      </c>
      <c r="G5" s="2" t="s">
        <v>28</v>
      </c>
    </row>
    <row r="6" spans="2:7" x14ac:dyDescent="0.3">
      <c r="B6" s="3" t="s">
        <v>24</v>
      </c>
      <c r="C6" s="2" t="s">
        <v>245</v>
      </c>
      <c r="D6" s="2"/>
      <c r="E6" s="2" t="s">
        <v>25</v>
      </c>
      <c r="F6" s="36">
        <v>3</v>
      </c>
      <c r="G6" s="2" t="s">
        <v>30</v>
      </c>
    </row>
    <row r="7" spans="2:7" x14ac:dyDescent="0.3">
      <c r="B7" s="3" t="s">
        <v>24</v>
      </c>
      <c r="C7" s="2" t="s">
        <v>246</v>
      </c>
      <c r="D7" s="2"/>
      <c r="E7" s="2" t="s">
        <v>67</v>
      </c>
      <c r="F7" s="36">
        <v>4</v>
      </c>
      <c r="G7" s="2" t="s">
        <v>121</v>
      </c>
    </row>
    <row r="8" spans="2:7" x14ac:dyDescent="0.3">
      <c r="B8" s="3" t="s">
        <v>24</v>
      </c>
      <c r="C8" s="2" t="s">
        <v>247</v>
      </c>
      <c r="D8" s="2"/>
      <c r="E8" s="2" t="s">
        <v>70</v>
      </c>
      <c r="F8" s="36">
        <v>1</v>
      </c>
      <c r="G8" s="2" t="s">
        <v>122</v>
      </c>
    </row>
    <row r="9" spans="2:7" x14ac:dyDescent="0.3">
      <c r="B9" s="3" t="s">
        <v>24</v>
      </c>
      <c r="C9" s="2" t="s">
        <v>248</v>
      </c>
      <c r="D9" s="2"/>
      <c r="E9" s="2" t="s">
        <v>223</v>
      </c>
      <c r="F9" s="36">
        <v>1</v>
      </c>
      <c r="G9" s="2" t="s">
        <v>224</v>
      </c>
    </row>
    <row r="10" spans="2:7" x14ac:dyDescent="0.3">
      <c r="B10" s="3" t="s">
        <v>72</v>
      </c>
      <c r="C10" s="3" t="s">
        <v>249</v>
      </c>
      <c r="D10" s="2" t="s">
        <v>139</v>
      </c>
      <c r="E10" s="2" t="s">
        <v>73</v>
      </c>
      <c r="F10" s="36">
        <v>2</v>
      </c>
      <c r="G10" s="3"/>
    </row>
    <row r="11" spans="2:7" ht="43.2" x14ac:dyDescent="0.3">
      <c r="B11" s="3" t="s">
        <v>72</v>
      </c>
      <c r="C11" s="3" t="s">
        <v>74</v>
      </c>
      <c r="D11" s="3" t="s">
        <v>139</v>
      </c>
      <c r="E11" s="32" t="s">
        <v>75</v>
      </c>
      <c r="F11" s="36">
        <v>5</v>
      </c>
      <c r="G11" s="3" t="s">
        <v>49</v>
      </c>
    </row>
    <row r="12" spans="2:7" ht="100.8" x14ac:dyDescent="0.3">
      <c r="B12" s="3" t="s">
        <v>72</v>
      </c>
      <c r="C12" s="3" t="s">
        <v>77</v>
      </c>
      <c r="D12" s="2" t="s">
        <v>139</v>
      </c>
      <c r="E12" s="32" t="s">
        <v>243</v>
      </c>
      <c r="F12" s="36">
        <v>13</v>
      </c>
      <c r="G12" s="2" t="s">
        <v>123</v>
      </c>
    </row>
    <row r="13" spans="2:7" x14ac:dyDescent="0.3">
      <c r="B13" s="3" t="s">
        <v>72</v>
      </c>
      <c r="C13" s="3" t="s">
        <v>78</v>
      </c>
      <c r="D13" s="3" t="s">
        <v>139</v>
      </c>
      <c r="E13" s="2" t="s">
        <v>79</v>
      </c>
      <c r="F13" s="36">
        <v>1</v>
      </c>
      <c r="G13" s="2" t="s">
        <v>48</v>
      </c>
    </row>
    <row r="14" spans="2:7" x14ac:dyDescent="0.3">
      <c r="B14" s="3" t="s">
        <v>72</v>
      </c>
      <c r="C14" s="3" t="s">
        <v>81</v>
      </c>
      <c r="D14" s="2" t="s">
        <v>139</v>
      </c>
      <c r="E14" t="s">
        <v>82</v>
      </c>
      <c r="F14" s="36">
        <v>6</v>
      </c>
      <c r="G14" s="2" t="s">
        <v>47</v>
      </c>
    </row>
    <row r="15" spans="2:7" x14ac:dyDescent="0.3">
      <c r="B15" s="3" t="s">
        <v>72</v>
      </c>
      <c r="C15" s="3" t="s">
        <v>84</v>
      </c>
      <c r="D15" s="3" t="s">
        <v>139</v>
      </c>
      <c r="E15" s="2" t="s">
        <v>85</v>
      </c>
      <c r="F15" s="36">
        <v>1</v>
      </c>
      <c r="G15" s="2" t="s">
        <v>62</v>
      </c>
    </row>
    <row r="16" spans="2:7" x14ac:dyDescent="0.3">
      <c r="B16" s="3" t="s">
        <v>72</v>
      </c>
      <c r="C16" s="2" t="s">
        <v>87</v>
      </c>
      <c r="D16" s="2" t="s">
        <v>139</v>
      </c>
      <c r="E16" s="2" t="s">
        <v>88</v>
      </c>
      <c r="F16" s="36">
        <v>1</v>
      </c>
      <c r="G16" s="2" t="s">
        <v>46</v>
      </c>
    </row>
    <row r="17" spans="2:7" x14ac:dyDescent="0.3">
      <c r="B17" s="3" t="s">
        <v>72</v>
      </c>
      <c r="C17" s="2" t="s">
        <v>90</v>
      </c>
      <c r="D17" s="3" t="s">
        <v>139</v>
      </c>
      <c r="E17" s="2" t="s">
        <v>91</v>
      </c>
      <c r="F17" s="36">
        <v>1</v>
      </c>
      <c r="G17" s="2" t="s">
        <v>45</v>
      </c>
    </row>
    <row r="18" spans="2:7" x14ac:dyDescent="0.3">
      <c r="B18" s="3" t="s">
        <v>72</v>
      </c>
      <c r="C18" s="2" t="s">
        <v>93</v>
      </c>
      <c r="D18" s="2" t="s">
        <v>139</v>
      </c>
      <c r="E18" s="2" t="s">
        <v>242</v>
      </c>
      <c r="F18" s="36">
        <v>2</v>
      </c>
      <c r="G18" s="2" t="s">
        <v>44</v>
      </c>
    </row>
    <row r="19" spans="2:7" x14ac:dyDescent="0.3">
      <c r="B19" s="3" t="s">
        <v>72</v>
      </c>
      <c r="C19" s="2" t="s">
        <v>95</v>
      </c>
      <c r="D19" s="3" t="s">
        <v>139</v>
      </c>
      <c r="E19" s="2" t="s">
        <v>96</v>
      </c>
      <c r="F19" s="36">
        <v>1</v>
      </c>
      <c r="G19" s="3" t="s">
        <v>43</v>
      </c>
    </row>
    <row r="20" spans="2:7" x14ac:dyDescent="0.3">
      <c r="B20" s="3" t="s">
        <v>72</v>
      </c>
      <c r="C20" s="3" t="s">
        <v>98</v>
      </c>
      <c r="D20" s="2" t="s">
        <v>139</v>
      </c>
      <c r="E20" s="2" t="s">
        <v>99</v>
      </c>
      <c r="F20" s="36">
        <v>1</v>
      </c>
      <c r="G20" s="3" t="s">
        <v>41</v>
      </c>
    </row>
    <row r="21" spans="2:7" x14ac:dyDescent="0.3">
      <c r="B21" s="3" t="s">
        <v>72</v>
      </c>
      <c r="C21" s="3" t="s">
        <v>101</v>
      </c>
      <c r="D21" s="3" t="s">
        <v>139</v>
      </c>
      <c r="E21" s="2" t="s">
        <v>102</v>
      </c>
      <c r="F21" s="36">
        <v>1</v>
      </c>
      <c r="G21" s="3" t="s">
        <v>103</v>
      </c>
    </row>
    <row r="22" spans="2:7" x14ac:dyDescent="0.3">
      <c r="B22" s="3" t="s">
        <v>72</v>
      </c>
      <c r="C22" s="3" t="s">
        <v>107</v>
      </c>
      <c r="D22" s="2" t="s">
        <v>139</v>
      </c>
      <c r="E22" s="2" t="s">
        <v>108</v>
      </c>
      <c r="F22" s="36">
        <v>2</v>
      </c>
      <c r="G22" s="3" t="s">
        <v>105</v>
      </c>
    </row>
    <row r="23" spans="2:7" x14ac:dyDescent="0.3">
      <c r="B23" s="3" t="s">
        <v>72</v>
      </c>
      <c r="C23" s="3" t="s">
        <v>240</v>
      </c>
      <c r="D23" s="3" t="s">
        <v>139</v>
      </c>
      <c r="E23" s="2" t="s">
        <v>109</v>
      </c>
      <c r="F23" s="36">
        <v>1</v>
      </c>
      <c r="G23" s="2"/>
    </row>
    <row r="24" spans="2:7" x14ac:dyDescent="0.3">
      <c r="B24" s="3" t="s">
        <v>72</v>
      </c>
      <c r="C24" s="2" t="s">
        <v>110</v>
      </c>
      <c r="D24" s="2" t="s">
        <v>139</v>
      </c>
      <c r="E24" s="2" t="s">
        <v>111</v>
      </c>
      <c r="F24" s="36">
        <v>2</v>
      </c>
      <c r="G24" s="2" t="s">
        <v>112</v>
      </c>
    </row>
    <row r="25" spans="2:7" x14ac:dyDescent="0.3">
      <c r="B25" s="3" t="s">
        <v>72</v>
      </c>
      <c r="C25" s="3" t="s">
        <v>114</v>
      </c>
      <c r="D25" s="3" t="s">
        <v>139</v>
      </c>
      <c r="E25" s="2" t="s">
        <v>115</v>
      </c>
      <c r="F25" s="36">
        <v>1</v>
      </c>
      <c r="G25" s="2" t="s">
        <v>116</v>
      </c>
    </row>
    <row r="26" spans="2:7" x14ac:dyDescent="0.3">
      <c r="B26" s="3" t="s">
        <v>72</v>
      </c>
      <c r="C26" s="2" t="s">
        <v>118</v>
      </c>
      <c r="D26" s="2" t="s">
        <v>139</v>
      </c>
      <c r="E26" s="2" t="s">
        <v>119</v>
      </c>
      <c r="F26" s="36">
        <v>1</v>
      </c>
      <c r="G26" s="2" t="s">
        <v>42</v>
      </c>
    </row>
    <row r="27" spans="2:7" x14ac:dyDescent="0.3">
      <c r="B27" s="3" t="s">
        <v>72</v>
      </c>
      <c r="C27" s="2" t="s">
        <v>231</v>
      </c>
      <c r="D27" s="2" t="s">
        <v>139</v>
      </c>
      <c r="E27" s="2" t="s">
        <v>232</v>
      </c>
      <c r="F27" s="36">
        <v>4</v>
      </c>
      <c r="G27" s="2" t="s">
        <v>52</v>
      </c>
    </row>
    <row r="28" spans="2:7" x14ac:dyDescent="0.3">
      <c r="B28" s="3" t="s">
        <v>125</v>
      </c>
      <c r="C28" s="2" t="s">
        <v>126</v>
      </c>
      <c r="D28" s="2" t="s">
        <v>138</v>
      </c>
      <c r="E28" s="2" t="s">
        <v>127</v>
      </c>
      <c r="F28" s="36">
        <v>3</v>
      </c>
      <c r="G28" s="2" t="s">
        <v>237</v>
      </c>
    </row>
    <row r="29" spans="2:7" ht="88.2" customHeight="1" x14ac:dyDescent="0.3">
      <c r="B29" s="3" t="s">
        <v>125</v>
      </c>
      <c r="C29" s="2" t="s">
        <v>128</v>
      </c>
      <c r="D29" s="2" t="s">
        <v>138</v>
      </c>
      <c r="E29" s="32" t="s">
        <v>239</v>
      </c>
      <c r="F29" s="36">
        <v>36</v>
      </c>
      <c r="G29" s="2" t="s">
        <v>157</v>
      </c>
    </row>
    <row r="30" spans="2:7" x14ac:dyDescent="0.3">
      <c r="B30" s="3" t="s">
        <v>125</v>
      </c>
      <c r="C30" s="2" t="s">
        <v>129</v>
      </c>
      <c r="D30" s="2" t="s">
        <v>138</v>
      </c>
      <c r="E30" s="2" t="s">
        <v>152</v>
      </c>
      <c r="F30" s="36">
        <v>6</v>
      </c>
      <c r="G30" s="2" t="s">
        <v>130</v>
      </c>
    </row>
    <row r="31" spans="2:7" x14ac:dyDescent="0.3">
      <c r="B31" s="3" t="s">
        <v>125</v>
      </c>
      <c r="C31" s="2" t="s">
        <v>132</v>
      </c>
      <c r="D31" s="2" t="s">
        <v>137</v>
      </c>
      <c r="E31" s="2" t="s">
        <v>133</v>
      </c>
      <c r="F31" s="36">
        <v>6</v>
      </c>
      <c r="G31" s="2" t="s">
        <v>134</v>
      </c>
    </row>
    <row r="32" spans="2:7" x14ac:dyDescent="0.3">
      <c r="B32" s="3" t="s">
        <v>125</v>
      </c>
      <c r="C32" s="2" t="s">
        <v>140</v>
      </c>
      <c r="D32" s="2" t="s">
        <v>141</v>
      </c>
      <c r="E32" s="2" t="s">
        <v>142</v>
      </c>
      <c r="F32" s="36">
        <v>3</v>
      </c>
      <c r="G32" s="2" t="s">
        <v>143</v>
      </c>
    </row>
    <row r="33" spans="2:7" x14ac:dyDescent="0.3">
      <c r="B33" s="3" t="s">
        <v>125</v>
      </c>
      <c r="C33" s="2" t="s">
        <v>145</v>
      </c>
      <c r="D33" s="2" t="s">
        <v>138</v>
      </c>
      <c r="E33" s="2" t="s">
        <v>146</v>
      </c>
      <c r="F33" s="36">
        <v>3</v>
      </c>
      <c r="G33" s="2" t="s">
        <v>147</v>
      </c>
    </row>
    <row r="34" spans="2:7" x14ac:dyDescent="0.3">
      <c r="B34" s="3" t="s">
        <v>125</v>
      </c>
      <c r="C34" s="2" t="s">
        <v>149</v>
      </c>
      <c r="D34" s="2" t="s">
        <v>141</v>
      </c>
      <c r="E34" s="2" t="s">
        <v>150</v>
      </c>
      <c r="F34" s="36">
        <v>1</v>
      </c>
      <c r="G34" s="2" t="s">
        <v>60</v>
      </c>
    </row>
    <row r="35" spans="2:7" x14ac:dyDescent="0.3">
      <c r="B35" s="3" t="s">
        <v>125</v>
      </c>
      <c r="C35" s="2" t="s">
        <v>153</v>
      </c>
      <c r="D35" s="2" t="s">
        <v>138</v>
      </c>
      <c r="E35" s="2" t="s">
        <v>154</v>
      </c>
      <c r="F35" s="36">
        <v>2</v>
      </c>
      <c r="G35" s="2" t="s">
        <v>155</v>
      </c>
    </row>
    <row r="36" spans="2:7" x14ac:dyDescent="0.3">
      <c r="B36" s="3" t="s">
        <v>125</v>
      </c>
      <c r="C36" s="2" t="s">
        <v>178</v>
      </c>
      <c r="D36" s="2" t="s">
        <v>179</v>
      </c>
      <c r="E36" s="2" t="s">
        <v>180</v>
      </c>
      <c r="F36" s="36">
        <v>1</v>
      </c>
      <c r="G36" s="2" t="s">
        <v>181</v>
      </c>
    </row>
    <row r="37" spans="2:7" x14ac:dyDescent="0.3">
      <c r="B37" s="3" t="s">
        <v>159</v>
      </c>
      <c r="C37" s="2" t="s">
        <v>160</v>
      </c>
      <c r="D37" s="2" t="s">
        <v>165</v>
      </c>
      <c r="E37" s="2" t="s">
        <v>161</v>
      </c>
      <c r="F37" s="36">
        <v>1</v>
      </c>
      <c r="G37" s="2" t="s">
        <v>162</v>
      </c>
    </row>
    <row r="38" spans="2:7" x14ac:dyDescent="0.3">
      <c r="B38" s="3" t="s">
        <v>159</v>
      </c>
      <c r="C38" s="2" t="s">
        <v>164</v>
      </c>
      <c r="D38" s="2" t="s">
        <v>166</v>
      </c>
      <c r="E38" s="2" t="s">
        <v>167</v>
      </c>
      <c r="F38" s="36">
        <v>1</v>
      </c>
      <c r="G38" s="2" t="s">
        <v>168</v>
      </c>
    </row>
    <row r="39" spans="2:7" x14ac:dyDescent="0.3">
      <c r="B39" s="3" t="s">
        <v>159</v>
      </c>
      <c r="C39" s="2" t="s">
        <v>170</v>
      </c>
      <c r="D39" s="2" t="s">
        <v>171</v>
      </c>
      <c r="E39" s="2" t="s">
        <v>172</v>
      </c>
      <c r="F39" s="36">
        <v>6</v>
      </c>
      <c r="G39" s="2" t="s">
        <v>173</v>
      </c>
    </row>
    <row r="40" spans="2:7" x14ac:dyDescent="0.3">
      <c r="B40" s="3" t="s">
        <v>159</v>
      </c>
      <c r="C40" s="2" t="s">
        <v>253</v>
      </c>
      <c r="D40" s="2"/>
      <c r="E40" s="2" t="s">
        <v>176</v>
      </c>
      <c r="F40" s="36">
        <v>5</v>
      </c>
      <c r="G40" s="2" t="s">
        <v>38</v>
      </c>
    </row>
    <row r="41" spans="2:7" x14ac:dyDescent="0.3">
      <c r="B41" s="3" t="s">
        <v>183</v>
      </c>
      <c r="C41" s="2" t="s">
        <v>184</v>
      </c>
      <c r="D41" s="2" t="s">
        <v>171</v>
      </c>
      <c r="E41" s="2" t="s">
        <v>185</v>
      </c>
      <c r="F41" s="36">
        <v>1</v>
      </c>
      <c r="G41" s="2" t="s">
        <v>55</v>
      </c>
    </row>
    <row r="42" spans="2:7" x14ac:dyDescent="0.3">
      <c r="B42" s="3" t="s">
        <v>187</v>
      </c>
      <c r="C42" s="2" t="s">
        <v>193</v>
      </c>
      <c r="D42" s="2" t="s">
        <v>194</v>
      </c>
      <c r="E42" s="2" t="s">
        <v>195</v>
      </c>
      <c r="F42" s="36">
        <v>1</v>
      </c>
      <c r="G42" s="2" t="s">
        <v>235</v>
      </c>
    </row>
    <row r="43" spans="2:7" x14ac:dyDescent="0.3">
      <c r="B43" s="3" t="s">
        <v>187</v>
      </c>
      <c r="C43" s="2" t="s">
        <v>196</v>
      </c>
      <c r="D43" s="2" t="s">
        <v>197</v>
      </c>
      <c r="E43" s="2" t="s">
        <v>198</v>
      </c>
      <c r="F43" s="36">
        <v>6</v>
      </c>
      <c r="G43" s="2" t="s">
        <v>199</v>
      </c>
    </row>
    <row r="44" spans="2:7" x14ac:dyDescent="0.3">
      <c r="B44" s="3" t="s">
        <v>187</v>
      </c>
      <c r="C44" s="2" t="s">
        <v>201</v>
      </c>
      <c r="D44" s="2" t="s">
        <v>194</v>
      </c>
      <c r="E44" s="2" t="s">
        <v>202</v>
      </c>
      <c r="F44" s="36">
        <v>1</v>
      </c>
      <c r="G44" s="2" t="s">
        <v>57</v>
      </c>
    </row>
    <row r="45" spans="2:7" x14ac:dyDescent="0.3">
      <c r="B45" s="3" t="s">
        <v>187</v>
      </c>
      <c r="C45" s="2" t="s">
        <v>204</v>
      </c>
      <c r="D45" s="2" t="s">
        <v>205</v>
      </c>
      <c r="E45" s="2" t="s">
        <v>206</v>
      </c>
      <c r="F45" s="36"/>
      <c r="G45" s="35">
        <v>173011235</v>
      </c>
    </row>
    <row r="46" spans="2:7" x14ac:dyDescent="0.3">
      <c r="B46" s="3" t="s">
        <v>187</v>
      </c>
      <c r="C46" s="2" t="s">
        <v>208</v>
      </c>
      <c r="D46" s="2" t="s">
        <v>205</v>
      </c>
      <c r="E46" s="2" t="s">
        <v>207</v>
      </c>
      <c r="F46" s="36">
        <v>1</v>
      </c>
      <c r="G46" s="35">
        <v>173010535</v>
      </c>
    </row>
    <row r="47" spans="2:7" x14ac:dyDescent="0.3">
      <c r="B47" s="3" t="s">
        <v>187</v>
      </c>
      <c r="C47" s="2" t="s">
        <v>209</v>
      </c>
      <c r="D47" s="2" t="s">
        <v>210</v>
      </c>
      <c r="E47" s="2" t="s">
        <v>211</v>
      </c>
      <c r="F47" s="36">
        <v>1</v>
      </c>
      <c r="G47" s="35" t="s">
        <v>212</v>
      </c>
    </row>
    <row r="48" spans="2:7" x14ac:dyDescent="0.3">
      <c r="B48" s="3" t="s">
        <v>187</v>
      </c>
      <c r="C48" s="2" t="s">
        <v>214</v>
      </c>
      <c r="D48" s="2" t="s">
        <v>210</v>
      </c>
      <c r="E48" s="2" t="s">
        <v>215</v>
      </c>
      <c r="F48" s="36">
        <v>4</v>
      </c>
      <c r="G48" s="35" t="s">
        <v>216</v>
      </c>
    </row>
    <row r="49" spans="2:7" x14ac:dyDescent="0.3">
      <c r="B49" s="3" t="s">
        <v>188</v>
      </c>
      <c r="C49" s="2" t="s">
        <v>250</v>
      </c>
      <c r="D49" s="2"/>
      <c r="E49" s="2" t="s">
        <v>190</v>
      </c>
      <c r="F49" s="36">
        <v>1</v>
      </c>
      <c r="G49" s="2" t="s">
        <v>191</v>
      </c>
    </row>
    <row r="50" spans="2:7" x14ac:dyDescent="0.3">
      <c r="B50" s="3" t="s">
        <v>218</v>
      </c>
      <c r="C50" s="2" t="s">
        <v>251</v>
      </c>
      <c r="D50" s="2"/>
      <c r="E50" s="2" t="s">
        <v>220</v>
      </c>
      <c r="F50" s="36">
        <v>1</v>
      </c>
      <c r="G50" s="2" t="s">
        <v>53</v>
      </c>
    </row>
    <row r="51" spans="2:7" x14ac:dyDescent="0.3">
      <c r="B51" s="3" t="s">
        <v>226</v>
      </c>
      <c r="C51" s="2" t="s">
        <v>252</v>
      </c>
      <c r="D51" s="2"/>
      <c r="E51" s="2" t="s">
        <v>228</v>
      </c>
      <c r="F51" s="36">
        <v>1</v>
      </c>
      <c r="G51" s="2" t="s">
        <v>229</v>
      </c>
    </row>
  </sheetData>
  <pageMargins left="0.25" right="0.25" top="0.75" bottom="0.75" header="0.3" footer="0.3"/>
  <pageSetup paperSize="9" scale="77"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Final BOM</vt:lpstr>
      <vt:lpstr>Sheet1</vt:lpstr>
      <vt:lpstr>'Final BOM'!Print_Area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BoM template (apprentice)</dc:title>
  <dc:subject/>
  <dc:creator>Benjamin Bolton</dc:creator>
  <cp:keywords/>
  <dc:description/>
  <cp:lastModifiedBy>Benjamin Bolton</cp:lastModifiedBy>
  <cp:revision/>
  <cp:lastPrinted>2026-05-13T07:22:38Z</cp:lastPrinted>
  <dcterms:created xsi:type="dcterms:W3CDTF">2024-04-18T13:21:44Z</dcterms:created>
  <dcterms:modified xsi:type="dcterms:W3CDTF">2026-05-15T11:53:25Z</dcterms:modified>
  <cp:category/>
  <cp:contentStatus/>
</cp:coreProperties>
</file>